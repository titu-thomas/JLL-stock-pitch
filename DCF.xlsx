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Op ER\Research Company Documents\Jyothy Labs\"/>
    </mc:Choice>
  </mc:AlternateContent>
  <bookViews>
    <workbookView xWindow="0" yWindow="0" windowWidth="22260" windowHeight="12648"/>
  </bookViews>
  <sheets>
    <sheet name="Inputs &amp; Assumptions" sheetId="3" r:id="rId1"/>
    <sheet name="Revenue Build" sheetId="4" r:id="rId2"/>
    <sheet name="Cost of Capital" sheetId="5" r:id="rId3"/>
    <sheet name="Valuation" sheetId="1" r:id="rId4"/>
    <sheet name="Market Expectations" sheetId="2" r:id="rId5"/>
  </sheets>
  <calcPr calcId="162913"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4" i="1" l="1"/>
  <c r="D11" i="1"/>
  <c r="J5" i="1" l="1"/>
  <c r="K5" i="1"/>
  <c r="L5" i="1"/>
  <c r="M5" i="1"/>
  <c r="I5" i="1"/>
  <c r="G5" i="1"/>
  <c r="H5" i="1"/>
  <c r="F5" i="1"/>
  <c r="Y5" i="1"/>
  <c r="W5" i="1"/>
  <c r="X5" i="1"/>
  <c r="V5" i="1"/>
  <c r="J8" i="4" l="1"/>
  <c r="K8" i="4"/>
  <c r="L8" i="4"/>
  <c r="M8" i="4"/>
  <c r="N8" i="4"/>
  <c r="J13" i="4"/>
  <c r="K13" i="4"/>
  <c r="L13" i="4"/>
  <c r="M13" i="4"/>
  <c r="N13" i="4"/>
  <c r="K18" i="4"/>
  <c r="L18" i="4"/>
  <c r="M18" i="4"/>
  <c r="N18" i="4"/>
  <c r="J18" i="4"/>
  <c r="G16" i="4"/>
  <c r="H16" i="4"/>
  <c r="I16" i="4"/>
  <c r="F16" i="4"/>
  <c r="G11" i="4"/>
  <c r="H11" i="4"/>
  <c r="I11" i="4"/>
  <c r="F11" i="4"/>
  <c r="G6" i="4"/>
  <c r="H6" i="4"/>
  <c r="I6" i="4"/>
  <c r="F6" i="4"/>
  <c r="E5" i="1" l="1"/>
  <c r="C2" i="1" l="1"/>
  <c r="D2" i="1" s="1"/>
  <c r="C35" i="2" s="1"/>
  <c r="D3" i="4"/>
  <c r="E3" i="4" s="1"/>
  <c r="F3" i="4" s="1"/>
  <c r="G3" i="4" s="1"/>
  <c r="H3" i="4" s="1"/>
  <c r="I3" i="4" s="1"/>
  <c r="J3" i="4" s="1"/>
  <c r="K3" i="4" s="1"/>
  <c r="L3" i="4" s="1"/>
  <c r="M3" i="4" s="1"/>
  <c r="N3" i="4" s="1"/>
  <c r="E2" i="1" l="1"/>
  <c r="F2" i="1" s="1"/>
  <c r="G2" i="1" s="1"/>
  <c r="H2" i="1" s="1"/>
  <c r="I2" i="1" s="1"/>
  <c r="J2" i="1" s="1"/>
  <c r="K2" i="1" s="1"/>
  <c r="L2" i="1" s="1"/>
  <c r="M2" i="1" s="1"/>
  <c r="C12" i="2"/>
  <c r="E38" i="2"/>
  <c r="F38" i="2"/>
  <c r="G38" i="2"/>
  <c r="H38" i="2"/>
  <c r="I38" i="2"/>
  <c r="J38" i="2"/>
  <c r="K38" i="2"/>
  <c r="L38" i="2"/>
  <c r="D38" i="2"/>
  <c r="D35" i="2"/>
  <c r="E35" i="2" s="1"/>
  <c r="F35" i="2" s="1"/>
  <c r="G35" i="2" s="1"/>
  <c r="H35" i="2" s="1"/>
  <c r="I35" i="2" s="1"/>
  <c r="J35" i="2" s="1"/>
  <c r="K35" i="2" s="1"/>
  <c r="L35" i="2" s="1"/>
  <c r="M14" i="2"/>
  <c r="D12" i="2"/>
  <c r="E12" i="2" s="1"/>
  <c r="F12" i="2" s="1"/>
  <c r="G12" i="2" s="1"/>
  <c r="H12" i="2" s="1"/>
  <c r="I12" i="2" s="1"/>
  <c r="J12" i="2" s="1"/>
  <c r="K12" i="2" s="1"/>
  <c r="L12" i="2" s="1"/>
  <c r="B13" i="5"/>
  <c r="C6" i="2"/>
  <c r="C3" i="2"/>
  <c r="C2" i="2"/>
  <c r="M37" i="2" l="1"/>
  <c r="J21" i="1"/>
  <c r="I21" i="1" s="1"/>
  <c r="H21" i="1" s="1"/>
  <c r="C26" i="1"/>
  <c r="C24" i="1"/>
  <c r="C22" i="1"/>
  <c r="K21" i="1" l="1"/>
  <c r="L21" i="1" s="1"/>
  <c r="D32" i="5" l="1"/>
  <c r="B24" i="5"/>
  <c r="B29" i="5" s="1"/>
  <c r="D33" i="5" s="1"/>
  <c r="B19" i="5"/>
  <c r="B18" i="5"/>
  <c r="B15" i="5"/>
  <c r="B14" i="5"/>
  <c r="B16" i="5" s="1"/>
  <c r="B4" i="5"/>
  <c r="B3" i="5"/>
  <c r="B11" i="3"/>
  <c r="B28" i="5"/>
  <c r="B10" i="5"/>
  <c r="B5" i="5" l="1"/>
  <c r="B32" i="5" s="1"/>
  <c r="C4" i="2"/>
  <c r="B20" i="5"/>
  <c r="B22" i="5" s="1"/>
  <c r="B33" i="5" l="1"/>
  <c r="B34" i="5" s="1"/>
  <c r="C32" i="5" s="1"/>
  <c r="C5" i="2"/>
  <c r="C7" i="2" s="1"/>
  <c r="C21" i="1"/>
  <c r="C33" i="5" l="1"/>
  <c r="D34" i="5" s="1"/>
  <c r="B26" i="5"/>
  <c r="C34" i="5" l="1"/>
  <c r="B29" i="3"/>
  <c r="G24" i="1"/>
  <c r="N7" i="1"/>
  <c r="M40" i="2" l="1"/>
  <c r="M17" i="2"/>
  <c r="C44" i="2"/>
  <c r="C21" i="2"/>
  <c r="G23" i="1"/>
  <c r="G22" i="1" s="1"/>
  <c r="G25" i="1"/>
  <c r="G26" i="1" s="1"/>
  <c r="D12" i="1"/>
  <c r="I11" i="1"/>
  <c r="N11" i="1"/>
  <c r="H11" i="1"/>
  <c r="M11" i="1"/>
  <c r="G11" i="1"/>
  <c r="L11" i="1"/>
  <c r="F11" i="1"/>
  <c r="K11" i="1"/>
  <c r="E11" i="1"/>
  <c r="J11" i="1"/>
  <c r="N5" i="1"/>
  <c r="I15" i="2"/>
  <c r="J15" i="2"/>
  <c r="K15" i="2"/>
  <c r="L15" i="2"/>
  <c r="H15" i="2"/>
  <c r="E15" i="2"/>
  <c r="F15" i="2"/>
  <c r="G15" i="2"/>
  <c r="D15" i="2"/>
  <c r="E7" i="1"/>
  <c r="F7" i="1"/>
  <c r="G7" i="1"/>
  <c r="H7" i="1"/>
  <c r="I7" i="1"/>
  <c r="J7" i="1"/>
  <c r="K7" i="1"/>
  <c r="L7" i="1"/>
  <c r="M7" i="1"/>
  <c r="C22" i="2" l="1"/>
  <c r="C45" i="2"/>
  <c r="F17" i="2"/>
  <c r="F40" i="2"/>
  <c r="J44" i="2"/>
  <c r="J21" i="2"/>
  <c r="M15" i="2"/>
  <c r="M38" i="2"/>
  <c r="E44" i="2"/>
  <c r="E21" i="2"/>
  <c r="E40" i="2"/>
  <c r="E17" i="2"/>
  <c r="K44" i="2"/>
  <c r="K21" i="2"/>
  <c r="C16" i="1"/>
  <c r="M44" i="2"/>
  <c r="C49" i="2" s="1"/>
  <c r="M21" i="2"/>
  <c r="C26" i="2" s="1"/>
  <c r="K17" i="2"/>
  <c r="K40" i="2"/>
  <c r="G17" i="2"/>
  <c r="G40" i="2"/>
  <c r="L44" i="2"/>
  <c r="L21" i="2"/>
  <c r="J17" i="2"/>
  <c r="J40" i="2"/>
  <c r="G44" i="2"/>
  <c r="G21" i="2"/>
  <c r="I17" i="2"/>
  <c r="I40" i="2"/>
  <c r="I44" i="2"/>
  <c r="I21" i="2"/>
  <c r="L40" i="2"/>
  <c r="L17" i="2"/>
  <c r="H40" i="2"/>
  <c r="H17" i="2"/>
  <c r="D40" i="2"/>
  <c r="D17" i="2"/>
  <c r="D44" i="2"/>
  <c r="D21" i="2"/>
  <c r="F21" i="2"/>
  <c r="F44" i="2"/>
  <c r="H44" i="2"/>
  <c r="H21" i="2"/>
  <c r="E12" i="1"/>
  <c r="F12" i="1" s="1"/>
  <c r="G12" i="1" s="1"/>
  <c r="H12" i="1" s="1"/>
  <c r="I12" i="1" s="1"/>
  <c r="J12" i="1" s="1"/>
  <c r="K12" i="1" s="1"/>
  <c r="L12" i="1" s="1"/>
  <c r="M12" i="1" s="1"/>
  <c r="C8" i="1"/>
  <c r="D7" i="1"/>
  <c r="D5" i="1"/>
  <c r="W7" i="1"/>
  <c r="X7" i="1"/>
  <c r="Y7" i="1"/>
  <c r="V7" i="1"/>
  <c r="G17" i="4"/>
  <c r="H17" i="4"/>
  <c r="I17" i="4"/>
  <c r="F17" i="4"/>
  <c r="H13" i="4"/>
  <c r="G12" i="4"/>
  <c r="H12" i="4"/>
  <c r="I12" i="4"/>
  <c r="F12" i="4"/>
  <c r="G7" i="4"/>
  <c r="H7" i="4"/>
  <c r="I7" i="4"/>
  <c r="F7" i="4"/>
  <c r="E17" i="4"/>
  <c r="E16" i="4"/>
  <c r="E12" i="4"/>
  <c r="E11" i="4"/>
  <c r="E7" i="4"/>
  <c r="E6" i="4"/>
  <c r="H8" i="4" l="1"/>
  <c r="C38" i="2"/>
  <c r="C15" i="2"/>
  <c r="D45" i="2"/>
  <c r="E45" i="2" s="1"/>
  <c r="F45" i="2" s="1"/>
  <c r="G45" i="2" s="1"/>
  <c r="H45" i="2" s="1"/>
  <c r="I45" i="2" s="1"/>
  <c r="J45" i="2" s="1"/>
  <c r="K45" i="2" s="1"/>
  <c r="L45" i="2" s="1"/>
  <c r="F13" i="4"/>
  <c r="C17" i="2"/>
  <c r="C40" i="2"/>
  <c r="D22" i="2"/>
  <c r="E22" i="2" s="1"/>
  <c r="F22" i="2" s="1"/>
  <c r="I18" i="4"/>
  <c r="H18" i="4"/>
  <c r="I8" i="4"/>
  <c r="I13" i="4"/>
  <c r="F18" i="4"/>
  <c r="G8" i="4"/>
  <c r="G13" i="4"/>
  <c r="G18" i="4"/>
  <c r="F8" i="4"/>
  <c r="E18" i="4"/>
  <c r="E15" i="4" s="1"/>
  <c r="E13" i="4"/>
  <c r="E10" i="4" s="1"/>
  <c r="E8" i="4"/>
  <c r="E5" i="4" s="1"/>
  <c r="F10" i="4" l="1"/>
  <c r="G10" i="4" s="1"/>
  <c r="H10" i="4" s="1"/>
  <c r="I10" i="4" s="1"/>
  <c r="J10" i="4" s="1"/>
  <c r="K10" i="4" s="1"/>
  <c r="L10" i="4" s="1"/>
  <c r="M10" i="4" s="1"/>
  <c r="N10" i="4" s="1"/>
  <c r="G22" i="2"/>
  <c r="F5" i="4"/>
  <c r="G5" i="4" s="1"/>
  <c r="F15" i="4"/>
  <c r="G15" i="4" s="1"/>
  <c r="H15" i="4" s="1"/>
  <c r="I15" i="4" s="1"/>
  <c r="E19" i="4"/>
  <c r="H22" i="2" l="1"/>
  <c r="F19" i="4"/>
  <c r="E3" i="1" s="1"/>
  <c r="D36" i="2" s="1"/>
  <c r="Y3" i="1"/>
  <c r="V3" i="1" s="1"/>
  <c r="D3" i="1"/>
  <c r="H5" i="4"/>
  <c r="G19" i="4"/>
  <c r="J15" i="4"/>
  <c r="D39" i="2" l="1"/>
  <c r="D41" i="2" s="1"/>
  <c r="D33" i="1"/>
  <c r="D42" i="2" s="1"/>
  <c r="C13" i="2"/>
  <c r="C36" i="2"/>
  <c r="C39" i="2" s="1"/>
  <c r="C41" i="2" s="1"/>
  <c r="I22" i="2"/>
  <c r="F20" i="4"/>
  <c r="E4" i="1" s="1"/>
  <c r="D37" i="2" s="1"/>
  <c r="X3" i="1"/>
  <c r="W3" i="1"/>
  <c r="E33" i="1"/>
  <c r="E6" i="1"/>
  <c r="E8" i="1" s="1"/>
  <c r="E30" i="1"/>
  <c r="E31" i="1"/>
  <c r="D30" i="1"/>
  <c r="D6" i="1"/>
  <c r="D8" i="1" s="1"/>
  <c r="D31" i="1"/>
  <c r="G20" i="4"/>
  <c r="F4" i="1" s="1"/>
  <c r="E37" i="2" s="1"/>
  <c r="F3" i="1"/>
  <c r="E36" i="2" s="1"/>
  <c r="I5" i="4"/>
  <c r="H19" i="4"/>
  <c r="K15" i="4"/>
  <c r="D34" i="1" l="1"/>
  <c r="D43" i="2"/>
  <c r="D46" i="2" s="1"/>
  <c r="E39" i="2"/>
  <c r="E41" i="2" s="1"/>
  <c r="E42" i="2"/>
  <c r="D13" i="2"/>
  <c r="C16" i="2"/>
  <c r="C18" i="2" s="1"/>
  <c r="J22" i="2"/>
  <c r="F31" i="1"/>
  <c r="F33" i="1"/>
  <c r="F34" i="1" s="1"/>
  <c r="F6" i="1"/>
  <c r="F8" i="1" s="1"/>
  <c r="F30" i="1"/>
  <c r="E32" i="1"/>
  <c r="D32" i="1"/>
  <c r="D35" i="1" s="1"/>
  <c r="E34" i="1"/>
  <c r="H20" i="4"/>
  <c r="G4" i="1" s="1"/>
  <c r="F37" i="2" s="1"/>
  <c r="G3" i="1"/>
  <c r="F36" i="2" s="1"/>
  <c r="J5" i="4"/>
  <c r="I19" i="4"/>
  <c r="L15" i="4"/>
  <c r="D14" i="2" l="1"/>
  <c r="E13" i="2"/>
  <c r="D16" i="2"/>
  <c r="D18" i="2" s="1"/>
  <c r="D19" i="2"/>
  <c r="E43" i="2"/>
  <c r="E46" i="2" s="1"/>
  <c r="F39" i="2"/>
  <c r="F41" i="2" s="1"/>
  <c r="F42" i="2"/>
  <c r="K22" i="2"/>
  <c r="F32" i="1"/>
  <c r="F35" i="1" s="1"/>
  <c r="F9" i="1" s="1"/>
  <c r="F10" i="1" s="1"/>
  <c r="F13" i="1" s="1"/>
  <c r="E35" i="1"/>
  <c r="E9" i="1" s="1"/>
  <c r="E10" i="1" s="1"/>
  <c r="E13" i="1" s="1"/>
  <c r="G30" i="1"/>
  <c r="G31" i="1"/>
  <c r="G6" i="1"/>
  <c r="G8" i="1" s="1"/>
  <c r="G33" i="1"/>
  <c r="G34" i="1" s="1"/>
  <c r="I20" i="4"/>
  <c r="H4" i="1" s="1"/>
  <c r="G37" i="2" s="1"/>
  <c r="H3" i="1"/>
  <c r="G36" i="2" s="1"/>
  <c r="D9" i="1"/>
  <c r="Y9" i="1"/>
  <c r="K5" i="4"/>
  <c r="J19" i="4"/>
  <c r="M15" i="4"/>
  <c r="D20" i="2" l="1"/>
  <c r="D23" i="2" s="1"/>
  <c r="C42" i="2"/>
  <c r="C19" i="2"/>
  <c r="F43" i="2"/>
  <c r="F46" i="2" s="1"/>
  <c r="E19" i="2"/>
  <c r="F13" i="2"/>
  <c r="E14" i="2"/>
  <c r="E16" i="2"/>
  <c r="E18" i="2" s="1"/>
  <c r="G39" i="2"/>
  <c r="G41" i="2" s="1"/>
  <c r="G42" i="2"/>
  <c r="L22" i="2"/>
  <c r="G32" i="1"/>
  <c r="G35" i="1" s="1"/>
  <c r="G9" i="1" s="1"/>
  <c r="G10" i="1" s="1"/>
  <c r="G13" i="1" s="1"/>
  <c r="H33" i="1"/>
  <c r="H34" i="1" s="1"/>
  <c r="H6" i="1"/>
  <c r="H8" i="1" s="1"/>
  <c r="H30" i="1"/>
  <c r="H31" i="1"/>
  <c r="X9" i="1"/>
  <c r="U9" i="1"/>
  <c r="U10" i="1" s="1"/>
  <c r="V9" i="1"/>
  <c r="W9" i="1"/>
  <c r="J20" i="4"/>
  <c r="I4" i="1" s="1"/>
  <c r="H37" i="2" s="1"/>
  <c r="I3" i="1"/>
  <c r="H36" i="2" s="1"/>
  <c r="L5" i="4"/>
  <c r="K19" i="4"/>
  <c r="N15" i="4"/>
  <c r="E20" i="2" l="1"/>
  <c r="E23" i="2" s="1"/>
  <c r="G43" i="2"/>
  <c r="G46" i="2" s="1"/>
  <c r="F19" i="2"/>
  <c r="F14" i="2"/>
  <c r="G13" i="2"/>
  <c r="F16" i="2"/>
  <c r="F18" i="2" s="1"/>
  <c r="H39" i="2"/>
  <c r="H41" i="2" s="1"/>
  <c r="H42" i="2"/>
  <c r="I6" i="1"/>
  <c r="I8" i="1" s="1"/>
  <c r="I33" i="1"/>
  <c r="I34" i="1" s="1"/>
  <c r="I30" i="1"/>
  <c r="I31" i="1"/>
  <c r="H32" i="1"/>
  <c r="H35" i="1" s="1"/>
  <c r="H9" i="1" s="1"/>
  <c r="H10" i="1" s="1"/>
  <c r="H13" i="1" s="1"/>
  <c r="K20" i="4"/>
  <c r="J4" i="1" s="1"/>
  <c r="I37" i="2" s="1"/>
  <c r="J3" i="1"/>
  <c r="I36" i="2" s="1"/>
  <c r="M5" i="4"/>
  <c r="L19" i="4"/>
  <c r="H43" i="2" l="1"/>
  <c r="H46" i="2" s="1"/>
  <c r="F20" i="2"/>
  <c r="F23" i="2" s="1"/>
  <c r="I39" i="2"/>
  <c r="I41" i="2" s="1"/>
  <c r="I42" i="2"/>
  <c r="G19" i="2"/>
  <c r="G16" i="2"/>
  <c r="G18" i="2" s="1"/>
  <c r="H13" i="2"/>
  <c r="G14" i="2"/>
  <c r="J31" i="1"/>
  <c r="J33" i="1"/>
  <c r="J34" i="1" s="1"/>
  <c r="J6" i="1"/>
  <c r="J8" i="1" s="1"/>
  <c r="J30" i="1"/>
  <c r="I32" i="1"/>
  <c r="I35" i="1" s="1"/>
  <c r="I9" i="1" s="1"/>
  <c r="I10" i="1" s="1"/>
  <c r="I13" i="1" s="1"/>
  <c r="L20" i="4"/>
  <c r="K4" i="1" s="1"/>
  <c r="J37" i="2" s="1"/>
  <c r="K3" i="1"/>
  <c r="J36" i="2" s="1"/>
  <c r="N5" i="4"/>
  <c r="N19" i="4" s="1"/>
  <c r="M3" i="1" s="1"/>
  <c r="M19" i="4"/>
  <c r="G20" i="2" l="1"/>
  <c r="G23" i="2" s="1"/>
  <c r="I43" i="2"/>
  <c r="I46" i="2" s="1"/>
  <c r="N3" i="1"/>
  <c r="N6" i="1" s="1"/>
  <c r="N8" i="1" s="1"/>
  <c r="N9" i="1" s="1"/>
  <c r="N10" i="1" s="1"/>
  <c r="C15" i="1" s="1"/>
  <c r="C17" i="1" s="1"/>
  <c r="C18" i="1" s="1"/>
  <c r="L36" i="2"/>
  <c r="J39" i="2"/>
  <c r="J41" i="2" s="1"/>
  <c r="J42" i="2"/>
  <c r="H19" i="2"/>
  <c r="H16" i="2"/>
  <c r="H18" i="2" s="1"/>
  <c r="I13" i="2"/>
  <c r="H14" i="2"/>
  <c r="J32" i="1"/>
  <c r="J35" i="1" s="1"/>
  <c r="J9" i="1" s="1"/>
  <c r="J10" i="1" s="1"/>
  <c r="J13" i="1" s="1"/>
  <c r="M6" i="1"/>
  <c r="M8" i="1" s="1"/>
  <c r="M33" i="1"/>
  <c r="M30" i="1"/>
  <c r="M31" i="1"/>
  <c r="K30" i="1"/>
  <c r="K33" i="1"/>
  <c r="K34" i="1" s="1"/>
  <c r="K6" i="1"/>
  <c r="K8" i="1" s="1"/>
  <c r="K31" i="1"/>
  <c r="M20" i="4"/>
  <c r="L4" i="1" s="1"/>
  <c r="K37" i="2" s="1"/>
  <c r="L3" i="1"/>
  <c r="K36" i="2" s="1"/>
  <c r="N20" i="4"/>
  <c r="M4" i="1" s="1"/>
  <c r="L37" i="2" s="1"/>
  <c r="H20" i="2" l="1"/>
  <c r="H23" i="2" s="1"/>
  <c r="J43" i="2"/>
  <c r="J46" i="2" s="1"/>
  <c r="M36" i="2"/>
  <c r="M39" i="2" s="1"/>
  <c r="M41" i="2" s="1"/>
  <c r="M42" i="2" s="1"/>
  <c r="M43" i="2" s="1"/>
  <c r="C48" i="2" s="1"/>
  <c r="C50" i="2" s="1"/>
  <c r="C51" i="2" s="1"/>
  <c r="L39" i="2"/>
  <c r="L41" i="2" s="1"/>
  <c r="L42" i="2"/>
  <c r="I19" i="2"/>
  <c r="I16" i="2"/>
  <c r="I18" i="2" s="1"/>
  <c r="I14" i="2"/>
  <c r="J13" i="2"/>
  <c r="K39" i="2"/>
  <c r="K41" i="2" s="1"/>
  <c r="K42" i="2"/>
  <c r="K32" i="1"/>
  <c r="K35" i="1" s="1"/>
  <c r="K9" i="1" s="1"/>
  <c r="K10" i="1" s="1"/>
  <c r="K13" i="1" s="1"/>
  <c r="M32" i="1"/>
  <c r="L33" i="1"/>
  <c r="L34" i="1" s="1"/>
  <c r="L6" i="1"/>
  <c r="L8" i="1" s="1"/>
  <c r="L30" i="1"/>
  <c r="L31" i="1"/>
  <c r="D19" i="4"/>
  <c r="E20" i="4" s="1"/>
  <c r="D4" i="1" s="1"/>
  <c r="K43" i="2" l="1"/>
  <c r="K46" i="2" s="1"/>
  <c r="C37" i="2"/>
  <c r="C14" i="2"/>
  <c r="J19" i="2"/>
  <c r="K13" i="2"/>
  <c r="J16" i="2"/>
  <c r="J18" i="2" s="1"/>
  <c r="J14" i="2"/>
  <c r="L43" i="2"/>
  <c r="L46" i="2" s="1"/>
  <c r="I20" i="2"/>
  <c r="I23" i="2" s="1"/>
  <c r="M34" i="1"/>
  <c r="M35" i="1" s="1"/>
  <c r="M9" i="1" s="1"/>
  <c r="M10" i="1" s="1"/>
  <c r="M13" i="1" s="1"/>
  <c r="L32" i="1"/>
  <c r="L35" i="1" s="1"/>
  <c r="L9" i="1" s="1"/>
  <c r="L10" i="1" s="1"/>
  <c r="L13" i="1" s="1"/>
  <c r="Y4" i="1"/>
  <c r="C32" i="1"/>
  <c r="E29" i="1"/>
  <c r="F29" i="1" s="1"/>
  <c r="G29" i="1" s="1"/>
  <c r="H29" i="1" s="1"/>
  <c r="I29" i="1" s="1"/>
  <c r="J29" i="1" s="1"/>
  <c r="K29" i="1" s="1"/>
  <c r="L29" i="1" s="1"/>
  <c r="M29" i="1" s="1"/>
  <c r="K19" i="2" l="1"/>
  <c r="L13" i="2"/>
  <c r="K16" i="2"/>
  <c r="K18" i="2" s="1"/>
  <c r="K14" i="2"/>
  <c r="J20" i="2"/>
  <c r="J23" i="2" s="1"/>
  <c r="K20" i="2" l="1"/>
  <c r="K23" i="2" s="1"/>
  <c r="L19" i="2"/>
  <c r="L14" i="2"/>
  <c r="L16" i="2"/>
  <c r="L18" i="2" s="1"/>
  <c r="M13" i="2"/>
  <c r="M16" i="2" s="1"/>
  <c r="M18" i="2" s="1"/>
  <c r="M19" i="2" s="1"/>
  <c r="M20" i="2" s="1"/>
  <c r="C25" i="2" s="1"/>
  <c r="C27" i="2" s="1"/>
  <c r="C28" i="2" s="1"/>
  <c r="L20" i="2" l="1"/>
  <c r="L23" i="2" s="1"/>
  <c r="V6" i="1" l="1"/>
  <c r="V8" i="1" s="1"/>
  <c r="V10" i="1" s="1"/>
  <c r="D10" i="1" s="1"/>
  <c r="C20" i="2" l="1"/>
  <c r="C23" i="2" s="1"/>
  <c r="C29" i="2" s="1"/>
  <c r="C30" i="2" s="1"/>
  <c r="C43" i="2"/>
  <c r="C46" i="2" s="1"/>
  <c r="C52" i="2" s="1"/>
  <c r="C53" i="2" s="1"/>
  <c r="D13" i="1"/>
  <c r="C19" i="1" s="1"/>
  <c r="C20" i="1" s="1"/>
  <c r="C23" i="1" s="1"/>
  <c r="C25" i="1" s="1"/>
  <c r="G21" i="1" l="1"/>
  <c r="C27" i="1"/>
  <c r="W6" i="1"/>
  <c r="X6" i="1"/>
  <c r="X8" i="1" s="1"/>
  <c r="X10" i="1" s="1"/>
  <c r="Y6" i="1" l="1"/>
  <c r="Y8" i="1" s="1"/>
  <c r="Y10" i="1" s="1"/>
  <c r="W8" i="1"/>
  <c r="W10" i="1" s="1"/>
</calcChain>
</file>

<file path=xl/comments1.xml><?xml version="1.0" encoding="utf-8"?>
<comments xmlns="http://schemas.openxmlformats.org/spreadsheetml/2006/main">
  <authors>
    <author>Titu Thomas</author>
  </authors>
  <commentList>
    <comment ref="B9" authorId="0" shapeId="0">
      <text>
        <r>
          <rPr>
            <b/>
            <sz val="9"/>
            <color indexed="81"/>
            <rFont val="Tahoma"/>
            <family val="2"/>
          </rPr>
          <t>Titu Thomas:</t>
        </r>
        <r>
          <rPr>
            <sz val="9"/>
            <color indexed="81"/>
            <rFont val="Tahoma"/>
            <family val="2"/>
          </rPr>
          <t xml:space="preserve">
FY26 growth metrics for Home Care are approximate proxies derived from Jyothy Labs' old five segment reporting structure. The company reorganized reporting into Fabric Care, Home Care and Personal Care in FY27.</t>
        </r>
      </text>
    </comment>
  </commentList>
</comments>
</file>

<file path=xl/comments2.xml><?xml version="1.0" encoding="utf-8"?>
<comments xmlns="http://schemas.openxmlformats.org/spreadsheetml/2006/main">
  <authors>
    <author>Titu Thomas</author>
  </authors>
  <commentList>
    <comment ref="A7" authorId="0" shapeId="0">
      <text>
        <r>
          <rPr>
            <b/>
            <sz val="9"/>
            <color indexed="81"/>
            <rFont val="Tahoma"/>
            <family val="2"/>
          </rPr>
          <t>Titu Thomas:</t>
        </r>
        <r>
          <rPr>
            <sz val="9"/>
            <color indexed="81"/>
            <rFont val="Tahoma"/>
            <family val="2"/>
          </rPr>
          <t xml:space="preserve">
Based on the yield of India's benchmark 10-year Government Security closest to the valuation date.</t>
        </r>
      </text>
    </comment>
    <comment ref="A8" authorId="0" shapeId="0">
      <text>
        <r>
          <rPr>
            <b/>
            <sz val="9"/>
            <color indexed="81"/>
            <rFont val="Tahoma"/>
            <family val="2"/>
          </rPr>
          <t>Titu Thomas:</t>
        </r>
        <r>
          <rPr>
            <sz val="9"/>
            <color indexed="81"/>
            <rFont val="Tahoma"/>
            <family val="2"/>
          </rPr>
          <t xml:space="preserve">
Based on Aswath Damodaran's 2026 India industry dataset report.</t>
        </r>
      </text>
    </comment>
    <comment ref="A9" authorId="0" shapeId="0">
      <text>
        <r>
          <rPr>
            <b/>
            <sz val="9"/>
            <color indexed="81"/>
            <rFont val="Tahoma"/>
            <family val="2"/>
          </rPr>
          <t>Titu Thomas:</t>
        </r>
        <r>
          <rPr>
            <sz val="9"/>
            <color indexed="81"/>
            <rFont val="Tahoma"/>
            <family val="2"/>
          </rPr>
          <t xml:space="preserve">
Based on Aswath Damodaran's country risk premium dataset as of July 1, 2026.</t>
        </r>
      </text>
    </comment>
    <comment ref="A25" authorId="0" shapeId="0">
      <text>
        <r>
          <rPr>
            <b/>
            <sz val="9"/>
            <color indexed="81"/>
            <rFont val="Tahoma"/>
            <family val="2"/>
          </rPr>
          <t>Titu Thomas:</t>
        </r>
        <r>
          <rPr>
            <sz val="9"/>
            <color indexed="81"/>
            <rFont val="Tahoma"/>
            <family val="2"/>
          </rPr>
          <t xml:space="preserve">
Source: FY26 Annual Report</t>
        </r>
      </text>
    </comment>
    <comment ref="A27" authorId="0" shapeId="0">
      <text>
        <r>
          <rPr>
            <b/>
            <sz val="9"/>
            <color indexed="81"/>
            <rFont val="Tahoma"/>
            <family val="2"/>
          </rPr>
          <t>Titu Thomas:</t>
        </r>
        <r>
          <rPr>
            <sz val="9"/>
            <color indexed="81"/>
            <rFont val="Tahoma"/>
            <family val="2"/>
          </rPr>
          <t xml:space="preserve">
Based on company's credit rating and Aswath Damodaran's 2026 corporate bond default spread.</t>
        </r>
      </text>
    </comment>
    <comment ref="A28" authorId="0" shapeId="0">
      <text>
        <r>
          <rPr>
            <b/>
            <sz val="9"/>
            <color indexed="81"/>
            <rFont val="Tahoma"/>
            <family val="2"/>
          </rPr>
          <t>Titu Thomas:</t>
        </r>
        <r>
          <rPr>
            <sz val="9"/>
            <color indexed="81"/>
            <rFont val="Tahoma"/>
            <family val="2"/>
          </rPr>
          <t xml:space="preserve">
All interest-bearing obligations, including lease liabilities, are treated as debt and assumed to carry the same marginal pre-tax cost of debt.</t>
        </r>
      </text>
    </comment>
    <comment ref="D34" authorId="0" shapeId="0">
      <text>
        <r>
          <rPr>
            <b/>
            <sz val="9"/>
            <color indexed="81"/>
            <rFont val="Tahoma"/>
            <family val="2"/>
          </rPr>
          <t>Titu Thomas:</t>
        </r>
        <r>
          <rPr>
            <sz val="9"/>
            <color indexed="81"/>
            <rFont val="Tahoma"/>
            <family val="2"/>
          </rPr>
          <t xml:space="preserve">
A single WACC is used across the forecast and terminal periods, as Jyothy Labs has minimal debt, a strong credit profile and no expected material change in its risk or capital structure. Market-driven inputs such as risk-free rates and equity risk premiums are difficult to forecast reliably and are therefore held constant.</t>
        </r>
      </text>
    </comment>
  </commentList>
</comments>
</file>

<file path=xl/comments3.xml><?xml version="1.0" encoding="utf-8"?>
<comments xmlns="http://schemas.openxmlformats.org/spreadsheetml/2006/main">
  <authors>
    <author>Titu Thomas</author>
  </authors>
  <commentList>
    <comment ref="N9" authorId="0" shapeId="0">
      <text>
        <r>
          <rPr>
            <b/>
            <sz val="9"/>
            <color indexed="81"/>
            <rFont val="Tahoma"/>
            <family val="2"/>
          </rPr>
          <t>Titu Thomas:</t>
        </r>
        <r>
          <rPr>
            <sz val="9"/>
            <color indexed="81"/>
            <rFont val="Tahoma"/>
            <family val="2"/>
          </rPr>
          <t xml:space="preserve">
Terminal Reinvestment amt is calculated as Terminal NOPAT * Terminal Rate (Terminal Growth/Terminal ROC)</t>
        </r>
      </text>
    </comment>
    <comment ref="P9" authorId="0" shapeId="0">
      <text>
        <r>
          <rPr>
            <b/>
            <sz val="9"/>
            <color indexed="81"/>
            <rFont val="Tahoma"/>
            <family val="2"/>
          </rPr>
          <t>Titu Thomas:</t>
        </r>
        <r>
          <rPr>
            <sz val="9"/>
            <color indexed="81"/>
            <rFont val="Tahoma"/>
            <family val="2"/>
          </rPr>
          <t xml:space="preserve">
Quarterly reinvestments are allocated proportionally according to each quarter's contribution to total FY27 revenue.</t>
        </r>
      </text>
    </comment>
    <comment ref="D10" authorId="0" shapeId="0">
      <text>
        <r>
          <rPr>
            <b/>
            <sz val="9"/>
            <color indexed="81"/>
            <rFont val="Tahoma"/>
            <family val="2"/>
          </rPr>
          <t>Titu Thomas:</t>
        </r>
        <r>
          <rPr>
            <sz val="9"/>
            <color indexed="81"/>
            <rFont val="Tahoma"/>
            <family val="2"/>
          </rPr>
          <t xml:space="preserve">
Only FCFF for remaining FY27 from valuation date is considered here. Q1FY27 and partial Q2FY27 FCFF is deducted from full FY27 FCFF.</t>
        </r>
      </text>
    </comment>
    <comment ref="B12" authorId="0" shapeId="0">
      <text>
        <r>
          <rPr>
            <b/>
            <sz val="9"/>
            <color indexed="81"/>
            <rFont val="Tahoma"/>
            <family val="2"/>
          </rPr>
          <t>Titu Thomas:</t>
        </r>
        <r>
          <rPr>
            <sz val="9"/>
            <color indexed="81"/>
            <rFont val="Tahoma"/>
            <family val="2"/>
          </rPr>
          <t xml:space="preserve">
As the valuation date is 11 September 2026, the remaining FY27 FCFF is discounted only for the period from the valuation date to 31 March 2027, rather than for a full year. Subsequent years are discounted for one additional full year thereafter.</t>
        </r>
      </text>
    </comment>
  </commentList>
</comments>
</file>

<file path=xl/sharedStrings.xml><?xml version="1.0" encoding="utf-8"?>
<sst xmlns="http://schemas.openxmlformats.org/spreadsheetml/2006/main" count="295" uniqueCount="143">
  <si>
    <t>(Rs. Crores)</t>
  </si>
  <si>
    <t>Revenue</t>
  </si>
  <si>
    <t>Revenue Growth</t>
  </si>
  <si>
    <t>Tax</t>
  </si>
  <si>
    <t>NOPAT</t>
  </si>
  <si>
    <t>Reinvestment</t>
  </si>
  <si>
    <t>FCFF</t>
  </si>
  <si>
    <t>Cost of Capital</t>
  </si>
  <si>
    <t>Discount Factor</t>
  </si>
  <si>
    <t>PV of FCFF</t>
  </si>
  <si>
    <t>Valuation Date</t>
  </si>
  <si>
    <t>Company Name</t>
  </si>
  <si>
    <t>Jyothy Labs Ltd</t>
  </si>
  <si>
    <t>Latest Reporting Period</t>
  </si>
  <si>
    <t>Q1 FY27</t>
  </si>
  <si>
    <t>Latest Financial Reporting Date</t>
  </si>
  <si>
    <t>Share price on valuation date</t>
  </si>
  <si>
    <t>Q1 FY26A</t>
  </si>
  <si>
    <t>Q2 FY26A</t>
  </si>
  <si>
    <t>Q3 FY26A</t>
  </si>
  <si>
    <t>Q4 FY26A</t>
  </si>
  <si>
    <t>Q1 FY27A</t>
  </si>
  <si>
    <t>A. Fabric Care</t>
  </si>
  <si>
    <t>-</t>
  </si>
  <si>
    <t>C. Personal Care</t>
  </si>
  <si>
    <t>Q2 FY27E</t>
  </si>
  <si>
    <t>Q3 FY27E</t>
  </si>
  <si>
    <t>Q4 FY27E</t>
  </si>
  <si>
    <t>Terminal Year</t>
  </si>
  <si>
    <t>Revenue Growth (To same period prev year)</t>
  </si>
  <si>
    <t>Terminal ROC</t>
  </si>
  <si>
    <t>Gross Capex</t>
  </si>
  <si>
    <t>Net Capex</t>
  </si>
  <si>
    <t>NWC</t>
  </si>
  <si>
    <t>Change in NWC</t>
  </si>
  <si>
    <t>Terminal Growth Rate</t>
  </si>
  <si>
    <t>EBIT Margin for next year</t>
  </si>
  <si>
    <t>Segments</t>
  </si>
  <si>
    <t>Volume Growth</t>
  </si>
  <si>
    <t>Price/Mix</t>
  </si>
  <si>
    <t>B. Home Care</t>
  </si>
  <si>
    <t>Value Growth</t>
  </si>
  <si>
    <t>A.</t>
  </si>
  <si>
    <t>Fabric Care</t>
  </si>
  <si>
    <t>Volume Growth for next year</t>
  </si>
  <si>
    <t>Volume Growth for year 2-5</t>
  </si>
  <si>
    <t>Price/Mix for next year</t>
  </si>
  <si>
    <t>Price/Mix for year 2-5</t>
  </si>
  <si>
    <t>B.</t>
  </si>
  <si>
    <t>Home Care</t>
  </si>
  <si>
    <t>C.</t>
  </si>
  <si>
    <t>Personal Care</t>
  </si>
  <si>
    <t>%</t>
  </si>
  <si>
    <t>Total Revenue</t>
  </si>
  <si>
    <t xml:space="preserve">FY27E Total </t>
  </si>
  <si>
    <t>Terminal EBIT Margin</t>
  </si>
  <si>
    <t>Tax Rate</t>
  </si>
  <si>
    <r>
      <t xml:space="preserve">No. of shares outstanding </t>
    </r>
    <r>
      <rPr>
        <i/>
        <sz val="9"/>
        <color theme="1"/>
        <rFont val="Calibri"/>
        <family val="2"/>
        <scheme val="minor"/>
      </rPr>
      <t>(Crores)</t>
    </r>
  </si>
  <si>
    <r>
      <t xml:space="preserve">Market capitalization </t>
    </r>
    <r>
      <rPr>
        <i/>
        <sz val="9"/>
        <color theme="1"/>
        <rFont val="Calibri"/>
        <family val="2"/>
        <scheme val="minor"/>
      </rPr>
      <t>(Rs.Crores)</t>
    </r>
  </si>
  <si>
    <t>Segment Growth Estimate</t>
  </si>
  <si>
    <t>Cost of Equity</t>
  </si>
  <si>
    <t>Current Market Price per share</t>
  </si>
  <si>
    <t>No. of Shares outstanding</t>
  </si>
  <si>
    <t>Market Value of Equity</t>
  </si>
  <si>
    <t>Risk-free rate</t>
  </si>
  <si>
    <t>Levered Beta</t>
  </si>
  <si>
    <t>Equity Risk Premium</t>
  </si>
  <si>
    <t>EQUITY</t>
  </si>
  <si>
    <t>DEBT</t>
  </si>
  <si>
    <t>Short-term borrowings</t>
  </si>
  <si>
    <t>Long-term borrowings</t>
  </si>
  <si>
    <t>Current portion of borrowings</t>
  </si>
  <si>
    <t>Conventional Debt</t>
  </si>
  <si>
    <t>Current lease liabilities</t>
  </si>
  <si>
    <t>Non-current lease liabilities</t>
  </si>
  <si>
    <t>Total Lease Debt</t>
  </si>
  <si>
    <t>Total Debt</t>
  </si>
  <si>
    <t>Capital</t>
  </si>
  <si>
    <t>Value</t>
  </si>
  <si>
    <t>Weight</t>
  </si>
  <si>
    <t>Cost</t>
  </si>
  <si>
    <t>Equity</t>
  </si>
  <si>
    <t>Total Capital</t>
  </si>
  <si>
    <t>Debt</t>
  </si>
  <si>
    <t xml:space="preserve">Cash &amp; equivalents </t>
  </si>
  <si>
    <t xml:space="preserve">Short-term borrowings </t>
  </si>
  <si>
    <t xml:space="preserve">Current portion of borrowings </t>
  </si>
  <si>
    <t>Pre-tax Cost of Debt</t>
  </si>
  <si>
    <t>Credit Rating</t>
  </si>
  <si>
    <t>CARE AA</t>
  </si>
  <si>
    <t>Default spread</t>
  </si>
  <si>
    <t>After-tax Cost of Debt</t>
  </si>
  <si>
    <t>Next Financial Year End</t>
  </si>
  <si>
    <t>Terminal FCFF</t>
  </si>
  <si>
    <t>Terminal Cost of Capital</t>
  </si>
  <si>
    <t>Terminal Value</t>
  </si>
  <si>
    <t>PV of Terminal Value</t>
  </si>
  <si>
    <t>PV of FCFF next 10 years</t>
  </si>
  <si>
    <t>- Debt</t>
  </si>
  <si>
    <t>+ Cash</t>
  </si>
  <si>
    <t>Value of Equity</t>
  </si>
  <si>
    <t>Shares Outstanding</t>
  </si>
  <si>
    <t>Estimated value per share</t>
  </si>
  <si>
    <t>Current Price</t>
  </si>
  <si>
    <t>Sum of PV</t>
  </si>
  <si>
    <t>WACC</t>
  </si>
  <si>
    <t>Sensitivity Analysis</t>
  </si>
  <si>
    <t>Value Per Share</t>
  </si>
  <si>
    <t>Current Share Price</t>
  </si>
  <si>
    <t>Market Capitalization</t>
  </si>
  <si>
    <t>Cash</t>
  </si>
  <si>
    <t>SCENARIO A: Implied Growth</t>
  </si>
  <si>
    <t>Assumptions</t>
  </si>
  <si>
    <t>FY27 Revenue &amp; Margin</t>
  </si>
  <si>
    <t>Same as Base DCF</t>
  </si>
  <si>
    <t>EBIT Margin rest of forecast years</t>
  </si>
  <si>
    <t>Reinvestment Assumption</t>
  </si>
  <si>
    <t>Same Methodology</t>
  </si>
  <si>
    <t>Market Implied Enterprise Value</t>
  </si>
  <si>
    <t>SCENARIO B: Implied Margin</t>
  </si>
  <si>
    <t>Total EV</t>
  </si>
  <si>
    <t>Revenue Growth rest of forecast years</t>
  </si>
  <si>
    <t>Implied Revenue Growth (Years 2-10)</t>
  </si>
  <si>
    <t>Implied Margin (Years 2-10)</t>
  </si>
  <si>
    <t>Next Reporting Period</t>
  </si>
  <si>
    <t>Q2 FY27</t>
  </si>
  <si>
    <t>Start Date</t>
  </si>
  <si>
    <t>End Date</t>
  </si>
  <si>
    <t>Latest Financial Year End</t>
  </si>
  <si>
    <t>Gross Capex as % of Revenue</t>
  </si>
  <si>
    <t>Working Capital Days</t>
  </si>
  <si>
    <t>Value growth for year 6-10</t>
  </si>
  <si>
    <t>EBIT Margin for year 6-10</t>
  </si>
  <si>
    <t>EBIT Margin for year 3-5</t>
  </si>
  <si>
    <t>EBIT Margin for year 2</t>
  </si>
  <si>
    <t>Implied Upside/Downside</t>
  </si>
  <si>
    <t>Terminal Growth &amp; Margin</t>
  </si>
  <si>
    <t>EBIT (Operating) margin</t>
  </si>
  <si>
    <t>EBIT (Operating income)</t>
  </si>
  <si>
    <r>
      <rPr>
        <u/>
        <sz val="11"/>
        <color rgb="FF000066"/>
        <rFont val="Calibri"/>
        <family val="2"/>
        <scheme val="minor"/>
      </rPr>
      <t>Scenario A:</t>
    </r>
    <r>
      <rPr>
        <sz val="11"/>
        <color rgb="FF000066"/>
        <rFont val="Calibri"/>
        <family val="2"/>
        <scheme val="minor"/>
      </rPr>
      <t xml:space="preserve"> If margins and below variables remain consistent with my assumptions, how much revenue growth is required to justify the current market price?</t>
    </r>
  </si>
  <si>
    <r>
      <rPr>
        <u/>
        <sz val="11"/>
        <color rgb="FF000066"/>
        <rFont val="Calibri"/>
        <family val="2"/>
        <scheme val="minor"/>
      </rPr>
      <t>Scenario B:</t>
    </r>
    <r>
      <rPr>
        <sz val="11"/>
        <color rgb="FF000066"/>
        <rFont val="Calibri"/>
        <family val="2"/>
        <scheme val="minor"/>
      </rPr>
      <t xml:space="preserve"> Given my revenue forecast and below assumptions, what EBIT margin does the market price imply?</t>
    </r>
  </si>
  <si>
    <t>PP&amp;E Depreciation</t>
  </si>
  <si>
    <t>PP&amp;E Depreciation as %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</si>
</sst>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43" formatCode="_(* #,##0.00_);_(* \(#,##0.00\);_(* &quot;-&quot;??_);_(@_)"/>
    <numFmt numFmtId="164" formatCode="0&quot; &quot;"/>
    <numFmt numFmtId="165" formatCode="0\A"/>
    <numFmt numFmtId="166" formatCode="0\E"/>
    <numFmt numFmtId="167" formatCode="&quot;Rs.&quot;\ 0"/>
    <numFmt numFmtId="168" formatCode="0.0%"/>
    <numFmt numFmtId="169" formatCode="_(* #,##0_);_(* \(#,##0\);_(* &quot;-&quot;??_);_(@_)"/>
    <numFmt numFmtId="170" formatCode="0.0"/>
    <numFmt numFmtId="171" formatCode="0.0000%"/>
    <numFmt numFmtId="172" formatCode="0&quot; Days&quot;"/>
    <numFmt numFmtId="173" formatCode="0.00000"/>
    <numFmt numFmtId="174" formatCode="[$₹-4009]\ #,##0"/>
    <numFmt numFmtId="175" formatCode="[$₹-4009]\ #,##0;[$₹-4009]\ \-#,##0"/>
  </numFmts>
  <fonts count="21" x14ac:knownFonts="1">
    <font>
      <sz val="11"/>
      <color theme="1"/>
      <name val="Calibri"/>
      <family val="2"/>
      <scheme val="minor"/>
    </font>
    <font>
      <i/>
      <sz val="8"/>
      <color theme="0" tint="-4.9989318521683403E-2"/>
      <name val="Calibri"/>
      <family val="2"/>
      <scheme val="minor"/>
    </font>
    <font>
      <b/>
      <sz val="11"/>
      <color theme="0" tint="-4.9989318521683403E-2"/>
      <name val="Calibri"/>
      <family val="2"/>
      <scheme val="minor"/>
    </font>
    <font>
      <sz val="11"/>
      <color theme="1"/>
      <name val="Calibri"/>
      <family val="2"/>
      <scheme val="minor"/>
    </font>
    <font>
      <b/>
      <sz val="11"/>
      <color theme="1"/>
      <name val="Calibri"/>
      <family val="2"/>
      <scheme val="minor"/>
    </font>
    <font>
      <sz val="11"/>
      <color rgb="FF000066"/>
      <name val="Calibri"/>
      <family val="2"/>
      <scheme val="minor"/>
    </font>
    <font>
      <sz val="9"/>
      <color indexed="81"/>
      <name val="Tahoma"/>
      <family val="2"/>
    </font>
    <font>
      <b/>
      <sz val="9"/>
      <color indexed="81"/>
      <name val="Tahoma"/>
      <family val="2"/>
    </font>
    <font>
      <b/>
      <sz val="11"/>
      <color rgb="FF000066"/>
      <name val="Calibri"/>
      <family val="2"/>
      <scheme val="minor"/>
    </font>
    <font>
      <sz val="11"/>
      <name val="Calibri"/>
      <family val="2"/>
      <scheme val="minor"/>
    </font>
    <font>
      <sz val="11"/>
      <color rgb="FF009242"/>
      <name val="Calibri"/>
      <family val="2"/>
      <scheme val="minor"/>
    </font>
    <font>
      <b/>
      <sz val="11"/>
      <color theme="1" tint="0.499984740745262"/>
      <name val="Calibri"/>
      <family val="2"/>
      <scheme val="minor"/>
    </font>
    <font>
      <i/>
      <sz val="9"/>
      <color theme="1"/>
      <name val="Calibri"/>
      <family val="2"/>
      <scheme val="minor"/>
    </font>
    <font>
      <b/>
      <sz val="11"/>
      <color rgb="FFC00000"/>
      <name val="Calibri"/>
      <family val="2"/>
      <scheme val="minor"/>
    </font>
    <font>
      <b/>
      <sz val="10"/>
      <name val="Arial"/>
      <family val="2"/>
    </font>
    <font>
      <b/>
      <u/>
      <sz val="11"/>
      <color theme="1"/>
      <name val="Calibri"/>
      <family val="2"/>
      <scheme val="minor"/>
    </font>
    <font>
      <sz val="11"/>
      <color rgb="FFC00000"/>
      <name val="Calibri"/>
      <family val="2"/>
      <scheme val="minor"/>
    </font>
    <font>
      <sz val="10"/>
      <color rgb="FF009242"/>
      <name val="Arial"/>
      <family val="2"/>
    </font>
    <font>
      <i/>
      <sz val="10"/>
      <color theme="1"/>
      <name val="Calibri"/>
      <family val="2"/>
      <scheme val="minor"/>
    </font>
    <font>
      <sz val="10"/>
      <color theme="1"/>
      <name val="Calibri"/>
      <family val="2"/>
      <scheme val="minor"/>
    </font>
    <font>
      <u/>
      <sz val="11"/>
      <color rgb="FF000066"/>
      <name val="Calibri"/>
      <family val="2"/>
      <scheme val="minor"/>
    </font>
  </fonts>
  <fills count="5">
    <fill>
      <patternFill patternType="none"/>
    </fill>
    <fill>
      <patternFill patternType="gray125"/>
    </fill>
    <fill>
      <patternFill patternType="solid">
        <fgColor rgb="FF000066"/>
        <bgColor indexed="64"/>
      </patternFill>
    </fill>
    <fill>
      <patternFill patternType="solid">
        <fgColor rgb="FFFFFF00"/>
        <bgColor indexed="64"/>
      </patternFill>
    </fill>
    <fill>
      <patternFill patternType="solid">
        <fgColor rgb="FFCCFFCC"/>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139">
    <xf numFmtId="0" fontId="0" fillId="0" borderId="0" xfId="0"/>
    <xf numFmtId="0" fontId="0" fillId="0" borderId="1" xfId="0" applyBorder="1"/>
    <xf numFmtId="0" fontId="1" fillId="2" borderId="1" xfId="0" applyFont="1" applyFill="1" applyBorder="1"/>
    <xf numFmtId="0" fontId="0" fillId="0" borderId="0" xfId="0" applyAlignment="1">
      <alignment horizontal="center"/>
    </xf>
    <xf numFmtId="0" fontId="0" fillId="0" borderId="1" xfId="0" applyBorder="1" applyAlignment="1">
      <alignment horizontal="center"/>
    </xf>
    <xf numFmtId="166" fontId="2" fillId="2" borderId="1" xfId="0" applyNumberFormat="1" applyFont="1" applyFill="1" applyBorder="1" applyAlignment="1">
      <alignment horizontal="center"/>
    </xf>
    <xf numFmtId="0" fontId="5" fillId="0" borderId="1" xfId="0" applyFont="1" applyBorder="1"/>
    <xf numFmtId="10" fontId="5" fillId="0" borderId="1" xfId="1" applyNumberFormat="1" applyFont="1" applyBorder="1"/>
    <xf numFmtId="164" fontId="5" fillId="0" borderId="1" xfId="0" applyNumberFormat="1" applyFont="1" applyBorder="1"/>
    <xf numFmtId="9" fontId="5" fillId="0" borderId="1" xfId="1" applyFont="1" applyBorder="1"/>
    <xf numFmtId="0" fontId="4" fillId="0" borderId="1" xfId="0" applyFont="1" applyBorder="1"/>
    <xf numFmtId="0" fontId="0" fillId="0" borderId="6" xfId="0" applyBorder="1"/>
    <xf numFmtId="0" fontId="0" fillId="0" borderId="3" xfId="0" applyBorder="1"/>
    <xf numFmtId="0" fontId="4" fillId="0" borderId="7" xfId="0" applyFont="1" applyBorder="1"/>
    <xf numFmtId="0" fontId="0" fillId="0" borderId="7" xfId="0" applyBorder="1"/>
    <xf numFmtId="0" fontId="0" fillId="0" borderId="2" xfId="0" applyBorder="1"/>
    <xf numFmtId="0" fontId="4" fillId="0" borderId="4" xfId="0" applyFont="1" applyBorder="1"/>
    <xf numFmtId="0" fontId="0" fillId="0" borderId="4" xfId="0" applyBorder="1"/>
    <xf numFmtId="168" fontId="0" fillId="0" borderId="3" xfId="1" applyNumberFormat="1" applyFont="1" applyBorder="1"/>
    <xf numFmtId="169" fontId="0" fillId="0" borderId="3" xfId="2" applyNumberFormat="1" applyFont="1" applyBorder="1"/>
    <xf numFmtId="169" fontId="5" fillId="0" borderId="3" xfId="2" applyNumberFormat="1" applyFont="1" applyBorder="1"/>
    <xf numFmtId="168" fontId="5" fillId="0" borderId="3" xfId="1" applyNumberFormat="1" applyFont="1" applyBorder="1"/>
    <xf numFmtId="0" fontId="4" fillId="0" borderId="1" xfId="0" applyFont="1" applyBorder="1" applyAlignment="1">
      <alignment horizontal="center"/>
    </xf>
    <xf numFmtId="168" fontId="8" fillId="0" borderId="3" xfId="1" applyNumberFormat="1" applyFont="1" applyBorder="1"/>
    <xf numFmtId="169" fontId="8" fillId="0" borderId="1" xfId="0" applyNumberFormat="1" applyFont="1" applyBorder="1"/>
    <xf numFmtId="0" fontId="4" fillId="0" borderId="1" xfId="0" applyFont="1" applyBorder="1" applyAlignment="1">
      <alignment horizontal="center"/>
    </xf>
    <xf numFmtId="168" fontId="0" fillId="0" borderId="3" xfId="1" applyNumberFormat="1" applyFont="1" applyBorder="1" applyAlignment="1">
      <alignment horizontal="center"/>
    </xf>
    <xf numFmtId="9" fontId="0" fillId="0" borderId="0" xfId="1" applyFont="1"/>
    <xf numFmtId="168" fontId="10" fillId="0" borderId="3" xfId="1" applyNumberFormat="1" applyFont="1" applyBorder="1"/>
    <xf numFmtId="169" fontId="4" fillId="0" borderId="1" xfId="0" applyNumberFormat="1" applyFont="1" applyBorder="1"/>
    <xf numFmtId="168" fontId="4" fillId="0" borderId="1" xfId="1" applyNumberFormat="1" applyFont="1" applyBorder="1"/>
    <xf numFmtId="170" fontId="0" fillId="0" borderId="1" xfId="0" applyNumberFormat="1" applyBorder="1"/>
    <xf numFmtId="1" fontId="0" fillId="0" borderId="1" xfId="0" applyNumberFormat="1" applyBorder="1"/>
    <xf numFmtId="1" fontId="10" fillId="0" borderId="1" xfId="0" applyNumberFormat="1" applyFont="1" applyBorder="1"/>
    <xf numFmtId="1" fontId="9" fillId="0" borderId="1" xfId="0" applyNumberFormat="1" applyFont="1" applyBorder="1"/>
    <xf numFmtId="10" fontId="0" fillId="0" borderId="1" xfId="1" applyNumberFormat="1" applyFont="1" applyBorder="1" applyAlignment="1">
      <alignment horizontal="center"/>
    </xf>
    <xf numFmtId="168" fontId="5" fillId="0" borderId="1" xfId="1" applyNumberFormat="1" applyFont="1" applyBorder="1"/>
    <xf numFmtId="168" fontId="10" fillId="0" borderId="1" xfId="1" applyNumberFormat="1" applyFont="1" applyBorder="1"/>
    <xf numFmtId="171" fontId="0" fillId="0" borderId="0" xfId="1" applyNumberFormat="1" applyFont="1"/>
    <xf numFmtId="165" fontId="11" fillId="2" borderId="1" xfId="0" applyNumberFormat="1" applyFont="1" applyFill="1" applyBorder="1" applyAlignment="1">
      <alignment horizontal="center"/>
    </xf>
    <xf numFmtId="15" fontId="4" fillId="0" borderId="1" xfId="0" applyNumberFormat="1" applyFont="1" applyBorder="1" applyAlignment="1">
      <alignment horizontal="center"/>
    </xf>
    <xf numFmtId="15" fontId="0" fillId="0" borderId="1" xfId="0" applyNumberFormat="1" applyBorder="1" applyAlignment="1">
      <alignment horizontal="center"/>
    </xf>
    <xf numFmtId="167" fontId="0" fillId="0" borderId="1" xfId="0" applyNumberFormat="1" applyBorder="1" applyAlignment="1">
      <alignment horizontal="center"/>
    </xf>
    <xf numFmtId="9" fontId="10" fillId="0" borderId="1" xfId="0" applyNumberFormat="1" applyFont="1" applyBorder="1"/>
    <xf numFmtId="9" fontId="5" fillId="0" borderId="1" xfId="1" applyFont="1" applyBorder="1" applyAlignment="1">
      <alignment horizontal="right"/>
    </xf>
    <xf numFmtId="168" fontId="0" fillId="3" borderId="1" xfId="1" applyNumberFormat="1" applyFont="1" applyFill="1" applyBorder="1" applyAlignment="1">
      <alignment horizontal="center"/>
    </xf>
    <xf numFmtId="172" fontId="0" fillId="3" borderId="1" xfId="0" applyNumberFormat="1" applyFill="1" applyBorder="1" applyAlignment="1">
      <alignment horizontal="center"/>
    </xf>
    <xf numFmtId="9" fontId="0" fillId="3" borderId="1" xfId="1" applyFont="1" applyFill="1" applyBorder="1" applyAlignment="1">
      <alignment horizontal="center"/>
    </xf>
    <xf numFmtId="173" fontId="0" fillId="0" borderId="1" xfId="0" applyNumberFormat="1" applyBorder="1"/>
    <xf numFmtId="168" fontId="0" fillId="3" borderId="3" xfId="1" applyNumberFormat="1" applyFont="1" applyFill="1" applyBorder="1" applyAlignment="1">
      <alignment horizontal="center"/>
    </xf>
    <xf numFmtId="9" fontId="0" fillId="0" borderId="1" xfId="1" applyNumberFormat="1" applyFont="1" applyBorder="1"/>
    <xf numFmtId="0" fontId="0" fillId="0" borderId="1" xfId="0" applyFont="1" applyBorder="1"/>
    <xf numFmtId="168" fontId="0" fillId="0" borderId="1" xfId="0" applyNumberFormat="1" applyBorder="1"/>
    <xf numFmtId="9" fontId="0" fillId="0" borderId="1" xfId="0" applyNumberFormat="1" applyBorder="1"/>
    <xf numFmtId="168" fontId="9" fillId="4" borderId="1" xfId="0" applyNumberFormat="1" applyFont="1" applyFill="1" applyBorder="1" applyAlignment="1">
      <alignment horizontal="center"/>
    </xf>
    <xf numFmtId="168" fontId="10" fillId="0" borderId="1" xfId="0" applyNumberFormat="1" applyFont="1" applyBorder="1"/>
    <xf numFmtId="168" fontId="13" fillId="0" borderId="5" xfId="1" applyNumberFormat="1" applyFont="1" applyBorder="1"/>
    <xf numFmtId="0" fontId="4" fillId="0" borderId="1" xfId="0" applyFont="1" applyBorder="1" applyAlignment="1">
      <alignment horizontal="center"/>
    </xf>
    <xf numFmtId="166" fontId="2" fillId="2" borderId="1" xfId="0" applyNumberFormat="1" applyFont="1" applyFill="1" applyBorder="1" applyAlignment="1">
      <alignment horizontal="center"/>
    </xf>
    <xf numFmtId="0" fontId="0" fillId="0" borderId="1" xfId="0" quotePrefix="1" applyBorder="1"/>
    <xf numFmtId="0" fontId="0" fillId="0" borderId="0" xfId="0" applyBorder="1"/>
    <xf numFmtId="0" fontId="0" fillId="0" borderId="0" xfId="0" applyBorder="1" applyAlignment="1"/>
    <xf numFmtId="0" fontId="14" fillId="0" borderId="8" xfId="0" applyFont="1" applyBorder="1" applyAlignment="1">
      <alignment horizontal="centerContinuous"/>
    </xf>
    <xf numFmtId="0" fontId="0" fillId="0" borderId="8" xfId="0" applyBorder="1" applyAlignment="1">
      <alignment horizontal="centerContinuous"/>
    </xf>
    <xf numFmtId="0" fontId="14" fillId="0" borderId="9" xfId="0" applyFont="1" applyBorder="1"/>
    <xf numFmtId="168" fontId="0" fillId="0" borderId="0" xfId="1" applyNumberFormat="1" applyFont="1" applyBorder="1"/>
    <xf numFmtId="0" fontId="0" fillId="0" borderId="9" xfId="0" applyBorder="1"/>
    <xf numFmtId="0" fontId="0" fillId="0" borderId="12" xfId="0" applyBorder="1"/>
    <xf numFmtId="0" fontId="0" fillId="0" borderId="13" xfId="0" applyBorder="1"/>
    <xf numFmtId="0" fontId="0" fillId="0" borderId="14" xfId="0" applyBorder="1"/>
    <xf numFmtId="0" fontId="0" fillId="0" borderId="15" xfId="0" applyBorder="1"/>
    <xf numFmtId="175" fontId="0" fillId="0" borderId="0" xfId="0" applyNumberFormat="1" applyBorder="1"/>
    <xf numFmtId="175" fontId="0" fillId="0" borderId="10" xfId="0" applyNumberFormat="1" applyBorder="1"/>
    <xf numFmtId="175" fontId="0" fillId="0" borderId="11" xfId="0" applyNumberFormat="1" applyBorder="1"/>
    <xf numFmtId="175" fontId="0" fillId="0" borderId="12" xfId="0" applyNumberFormat="1" applyBorder="1"/>
    <xf numFmtId="166" fontId="2" fillId="2" borderId="1" xfId="0" applyNumberFormat="1" applyFont="1" applyFill="1" applyBorder="1" applyAlignment="1">
      <alignment horizontal="center"/>
    </xf>
    <xf numFmtId="169" fontId="5" fillId="0" borderId="1" xfId="2" applyNumberFormat="1" applyFont="1" applyBorder="1"/>
    <xf numFmtId="169" fontId="10" fillId="0" borderId="1" xfId="2" applyNumberFormat="1" applyFont="1" applyBorder="1"/>
    <xf numFmtId="169" fontId="0" fillId="0" borderId="1" xfId="2" applyNumberFormat="1" applyFont="1" applyBorder="1"/>
    <xf numFmtId="169" fontId="5" fillId="0" borderId="1" xfId="2" applyNumberFormat="1" applyFont="1" applyBorder="1" applyAlignment="1">
      <alignment horizontal="right"/>
    </xf>
    <xf numFmtId="169" fontId="0" fillId="0" borderId="1" xfId="2" applyNumberFormat="1" applyFont="1" applyBorder="1" applyAlignment="1">
      <alignment horizontal="center"/>
    </xf>
    <xf numFmtId="169" fontId="9" fillId="0" borderId="1" xfId="2" applyNumberFormat="1" applyFont="1" applyBorder="1"/>
    <xf numFmtId="169" fontId="8" fillId="0" borderId="5" xfId="2" applyNumberFormat="1" applyFont="1" applyBorder="1"/>
    <xf numFmtId="169" fontId="4" fillId="0" borderId="5" xfId="2" applyNumberFormat="1" applyFont="1" applyBorder="1"/>
    <xf numFmtId="169" fontId="5" fillId="0" borderId="6" xfId="2" applyNumberFormat="1" applyFont="1" applyBorder="1"/>
    <xf numFmtId="169" fontId="0" fillId="0" borderId="6" xfId="2" applyNumberFormat="1" applyFont="1" applyBorder="1"/>
    <xf numFmtId="169" fontId="4" fillId="0" borderId="5" xfId="2" applyNumberFormat="1" applyFont="1" applyBorder="1" applyAlignment="1">
      <alignment horizontal="center"/>
    </xf>
    <xf numFmtId="175" fontId="4" fillId="0" borderId="1" xfId="0" applyNumberFormat="1" applyFont="1" applyBorder="1" applyAlignment="1">
      <alignment horizontal="right"/>
    </xf>
    <xf numFmtId="169" fontId="9" fillId="4" borderId="1" xfId="2" applyNumberFormat="1" applyFont="1" applyFill="1" applyBorder="1" applyAlignment="1">
      <alignment horizontal="center"/>
    </xf>
    <xf numFmtId="43" fontId="9" fillId="4" borderId="1" xfId="2" applyNumberFormat="1" applyFont="1" applyFill="1" applyBorder="1" applyAlignment="1">
      <alignment horizontal="center"/>
    </xf>
    <xf numFmtId="174" fontId="9" fillId="4" borderId="1" xfId="0" applyNumberFormat="1" applyFont="1" applyFill="1" applyBorder="1" applyAlignment="1">
      <alignment horizontal="right"/>
    </xf>
    <xf numFmtId="169" fontId="9" fillId="4" borderId="1" xfId="2" applyNumberFormat="1" applyFont="1" applyFill="1" applyBorder="1" applyAlignment="1">
      <alignment horizontal="right"/>
    </xf>
    <xf numFmtId="169" fontId="0" fillId="0" borderId="1" xfId="2" applyNumberFormat="1" applyFont="1" applyBorder="1" applyAlignment="1">
      <alignment horizontal="right"/>
    </xf>
    <xf numFmtId="10" fontId="0" fillId="3" borderId="1" xfId="1" applyNumberFormat="1" applyFont="1" applyFill="1" applyBorder="1" applyAlignment="1">
      <alignment horizontal="right"/>
    </xf>
    <xf numFmtId="0" fontId="0" fillId="3" borderId="1" xfId="0" applyFill="1" applyBorder="1" applyAlignment="1">
      <alignment horizontal="right"/>
    </xf>
    <xf numFmtId="168" fontId="4" fillId="0" borderId="5" xfId="1" applyNumberFormat="1" applyFont="1" applyBorder="1" applyAlignment="1">
      <alignment horizontal="right"/>
    </xf>
    <xf numFmtId="9" fontId="9" fillId="4" borderId="1" xfId="1" applyNumberFormat="1" applyFont="1" applyFill="1" applyBorder="1" applyAlignment="1">
      <alignment horizontal="right"/>
    </xf>
    <xf numFmtId="168" fontId="3" fillId="0" borderId="1" xfId="1" applyNumberFormat="1" applyFont="1" applyBorder="1" applyAlignment="1">
      <alignment horizontal="right"/>
    </xf>
    <xf numFmtId="3" fontId="0" fillId="0" borderId="1" xfId="0" applyNumberFormat="1" applyBorder="1" applyAlignment="1">
      <alignment horizontal="center"/>
    </xf>
    <xf numFmtId="4" fontId="0" fillId="0" borderId="1" xfId="0" applyNumberFormat="1" applyBorder="1" applyAlignment="1">
      <alignment horizontal="center"/>
    </xf>
    <xf numFmtId="0" fontId="4" fillId="0" borderId="0" xfId="0" applyFont="1" applyBorder="1"/>
    <xf numFmtId="169" fontId="4" fillId="0" borderId="0" xfId="2" applyNumberFormat="1" applyFont="1" applyBorder="1"/>
    <xf numFmtId="0" fontId="0" fillId="0" borderId="0" xfId="0" applyFont="1" applyBorder="1"/>
    <xf numFmtId="169" fontId="3" fillId="0" borderId="0" xfId="2" applyNumberFormat="1" applyFont="1" applyBorder="1"/>
    <xf numFmtId="0" fontId="0" fillId="0" borderId="0" xfId="0" applyFont="1" applyFill="1" applyBorder="1"/>
    <xf numFmtId="0" fontId="0" fillId="0" borderId="0" xfId="0" applyFont="1"/>
    <xf numFmtId="0" fontId="15" fillId="0" borderId="0" xfId="0" applyFont="1" applyFill="1" applyBorder="1"/>
    <xf numFmtId="0" fontId="0" fillId="0" borderId="0" xfId="0" applyAlignment="1">
      <alignment vertical="center" wrapText="1"/>
    </xf>
    <xf numFmtId="0" fontId="0" fillId="0" borderId="1" xfId="0" applyBorder="1" applyAlignment="1">
      <alignment vertical="center" wrapText="1"/>
    </xf>
    <xf numFmtId="0" fontId="10" fillId="0" borderId="1" xfId="0" applyFont="1" applyBorder="1"/>
    <xf numFmtId="43" fontId="0" fillId="0" borderId="0" xfId="0" applyNumberFormat="1"/>
    <xf numFmtId="0" fontId="16" fillId="0" borderId="0" xfId="0" applyFont="1" applyAlignment="1">
      <alignment horizontal="left" wrapText="1"/>
    </xf>
    <xf numFmtId="168" fontId="17" fillId="0" borderId="0" xfId="1" applyNumberFormat="1" applyFont="1" applyBorder="1"/>
    <xf numFmtId="0" fontId="18" fillId="0" borderId="1" xfId="0" applyFont="1" applyBorder="1" applyAlignment="1">
      <alignment horizontal="center"/>
    </xf>
    <xf numFmtId="15" fontId="19" fillId="0" borderId="1" xfId="0" applyNumberFormat="1" applyFont="1" applyBorder="1"/>
    <xf numFmtId="0" fontId="9" fillId="0" borderId="1" xfId="0" applyFont="1" applyBorder="1"/>
    <xf numFmtId="168" fontId="0" fillId="0" borderId="1" xfId="1" applyNumberFormat="1" applyFont="1" applyBorder="1"/>
    <xf numFmtId="10" fontId="0" fillId="0" borderId="0" xfId="0" applyNumberFormat="1"/>
    <xf numFmtId="168" fontId="16" fillId="0" borderId="1" xfId="1" applyNumberFormat="1" applyFont="1" applyBorder="1"/>
    <xf numFmtId="168" fontId="13" fillId="0" borderId="1" xfId="1" applyNumberFormat="1" applyFont="1" applyBorder="1" applyAlignment="1">
      <alignment horizontal="center"/>
    </xf>
    <xf numFmtId="166" fontId="2" fillId="2" borderId="1" xfId="0" applyNumberFormat="1" applyFont="1" applyFill="1" applyBorder="1" applyAlignment="1">
      <alignment horizontal="center"/>
    </xf>
    <xf numFmtId="175" fontId="4" fillId="0" borderId="0" xfId="0" applyNumberFormat="1" applyFont="1" applyBorder="1"/>
    <xf numFmtId="175" fontId="0" fillId="0" borderId="18" xfId="0" applyNumberFormat="1" applyBorder="1"/>
    <xf numFmtId="175" fontId="0" fillId="0" borderId="19" xfId="0" applyNumberFormat="1" applyBorder="1"/>
    <xf numFmtId="175" fontId="0" fillId="0" borderId="20" xfId="0" applyNumberFormat="1" applyBorder="1"/>
    <xf numFmtId="175" fontId="0" fillId="0" borderId="21" xfId="0" applyNumberFormat="1" applyBorder="1"/>
    <xf numFmtId="175" fontId="0" fillId="0" borderId="22" xfId="0" applyNumberFormat="1" applyBorder="1"/>
    <xf numFmtId="175" fontId="0" fillId="0" borderId="23" xfId="0" applyNumberFormat="1" applyBorder="1"/>
    <xf numFmtId="175" fontId="0" fillId="0" borderId="8" xfId="0" applyNumberFormat="1" applyBorder="1"/>
    <xf numFmtId="175" fontId="0" fillId="0" borderId="24" xfId="0" applyNumberFormat="1" applyBorder="1"/>
    <xf numFmtId="0" fontId="4" fillId="0" borderId="1" xfId="0" applyFont="1" applyBorder="1" applyAlignment="1">
      <alignment horizontal="center"/>
    </xf>
    <xf numFmtId="166" fontId="2" fillId="2" borderId="1" xfId="0" applyNumberFormat="1" applyFont="1" applyFill="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16" xfId="0" applyFont="1" applyBorder="1" applyAlignment="1">
      <alignment horizontal="center"/>
    </xf>
    <xf numFmtId="0" fontId="4" fillId="0" borderId="8" xfId="0" applyFont="1" applyBorder="1" applyAlignment="1">
      <alignment horizontal="center"/>
    </xf>
    <xf numFmtId="0" fontId="4" fillId="0" borderId="17" xfId="0" applyFont="1" applyBorder="1" applyAlignment="1">
      <alignment horizontal="center"/>
    </xf>
    <xf numFmtId="0" fontId="5" fillId="0" borderId="0" xfId="0" applyFont="1" applyAlignment="1">
      <alignment horizontal="left" wrapText="1"/>
    </xf>
    <xf numFmtId="0" fontId="5" fillId="0" borderId="0" xfId="0" applyFont="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colors>
    <mruColors>
      <color rgb="FF000066"/>
      <color rgb="FF009242"/>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0"/>
  <sheetViews>
    <sheetView showGridLines="0" tabSelected="1" zoomScale="115" zoomScaleNormal="115" workbookViewId="0">
      <selection activeCell="K17" sqref="K17"/>
    </sheetView>
  </sheetViews>
  <sheetFormatPr defaultRowHeight="14.4" x14ac:dyDescent="0.3"/>
  <cols>
    <col min="1" max="1" width="29.88671875" customWidth="1"/>
    <col min="2" max="2" width="18.109375" style="3" customWidth="1"/>
    <col min="3" max="3" width="9.44140625" customWidth="1"/>
    <col min="4" max="4" width="9.33203125" bestFit="1" customWidth="1"/>
    <col min="6" max="6" width="2.6640625" customWidth="1"/>
    <col min="7" max="7" width="30.5546875" customWidth="1"/>
  </cols>
  <sheetData>
    <row r="2" spans="1:8" x14ac:dyDescent="0.3">
      <c r="A2" s="10" t="s">
        <v>11</v>
      </c>
      <c r="B2" s="120" t="s">
        <v>12</v>
      </c>
    </row>
    <row r="3" spans="1:8" x14ac:dyDescent="0.3">
      <c r="A3" s="10" t="s">
        <v>10</v>
      </c>
      <c r="B3" s="40">
        <v>46276</v>
      </c>
      <c r="F3" s="130" t="s">
        <v>59</v>
      </c>
      <c r="G3" s="130"/>
      <c r="H3" s="22" t="s">
        <v>52</v>
      </c>
    </row>
    <row r="4" spans="1:8" x14ac:dyDescent="0.3">
      <c r="A4" s="1" t="s">
        <v>128</v>
      </c>
      <c r="B4" s="41">
        <v>46112</v>
      </c>
      <c r="F4" s="13" t="s">
        <v>42</v>
      </c>
      <c r="G4" s="13" t="s">
        <v>43</v>
      </c>
      <c r="H4" s="1"/>
    </row>
    <row r="5" spans="1:8" x14ac:dyDescent="0.3">
      <c r="A5" s="1" t="s">
        <v>15</v>
      </c>
      <c r="B5" s="41">
        <v>46203</v>
      </c>
      <c r="F5" s="15"/>
      <c r="G5" s="12" t="s">
        <v>44</v>
      </c>
      <c r="H5" s="49">
        <v>0.115</v>
      </c>
    </row>
    <row r="6" spans="1:8" x14ac:dyDescent="0.3">
      <c r="A6" s="1" t="s">
        <v>92</v>
      </c>
      <c r="B6" s="41">
        <v>46477</v>
      </c>
      <c r="C6" s="113" t="s">
        <v>126</v>
      </c>
      <c r="D6" s="113" t="s">
        <v>127</v>
      </c>
      <c r="F6" s="15"/>
      <c r="G6" s="12" t="s">
        <v>45</v>
      </c>
      <c r="H6" s="45">
        <v>0.1</v>
      </c>
    </row>
    <row r="7" spans="1:8" x14ac:dyDescent="0.3">
      <c r="A7" s="1" t="s">
        <v>13</v>
      </c>
      <c r="B7" s="4" t="s">
        <v>14</v>
      </c>
      <c r="C7" s="114">
        <v>46113</v>
      </c>
      <c r="D7" s="114">
        <v>46203</v>
      </c>
      <c r="F7" s="15"/>
      <c r="G7" s="12" t="s">
        <v>46</v>
      </c>
      <c r="H7" s="45">
        <v>0.04</v>
      </c>
    </row>
    <row r="8" spans="1:8" x14ac:dyDescent="0.3">
      <c r="A8" s="1" t="s">
        <v>124</v>
      </c>
      <c r="B8" s="4" t="s">
        <v>125</v>
      </c>
      <c r="C8" s="114">
        <v>46204</v>
      </c>
      <c r="D8" s="114">
        <v>46295</v>
      </c>
      <c r="F8" s="15"/>
      <c r="G8" s="12" t="s">
        <v>47</v>
      </c>
      <c r="H8" s="45">
        <v>0.02</v>
      </c>
    </row>
    <row r="9" spans="1:8" x14ac:dyDescent="0.3">
      <c r="A9" s="1" t="s">
        <v>16</v>
      </c>
      <c r="B9" s="42">
        <v>195</v>
      </c>
      <c r="F9" s="15"/>
      <c r="G9" s="12" t="s">
        <v>131</v>
      </c>
      <c r="H9" s="45">
        <v>0.08</v>
      </c>
    </row>
    <row r="10" spans="1:8" x14ac:dyDescent="0.3">
      <c r="A10" s="1" t="s">
        <v>57</v>
      </c>
      <c r="B10" s="99">
        <v>36.72</v>
      </c>
      <c r="F10" s="10" t="s">
        <v>48</v>
      </c>
      <c r="G10" s="10" t="s">
        <v>49</v>
      </c>
      <c r="H10" s="4"/>
    </row>
    <row r="11" spans="1:8" x14ac:dyDescent="0.3">
      <c r="A11" s="1" t="s">
        <v>58</v>
      </c>
      <c r="B11" s="98">
        <f>B9*B10</f>
        <v>7160.4</v>
      </c>
      <c r="F11" s="15"/>
      <c r="G11" s="12" t="s">
        <v>44</v>
      </c>
      <c r="H11" s="49">
        <v>-0.13</v>
      </c>
    </row>
    <row r="12" spans="1:8" x14ac:dyDescent="0.3">
      <c r="A12" s="1" t="s">
        <v>84</v>
      </c>
      <c r="B12" s="98">
        <v>816</v>
      </c>
      <c r="F12" s="15"/>
      <c r="G12" s="12" t="s">
        <v>45</v>
      </c>
      <c r="H12" s="45">
        <v>0.12</v>
      </c>
    </row>
    <row r="13" spans="1:8" x14ac:dyDescent="0.3">
      <c r="A13" s="1" t="s">
        <v>85</v>
      </c>
      <c r="B13" s="98">
        <v>0</v>
      </c>
      <c r="F13" s="15"/>
      <c r="G13" s="12" t="s">
        <v>46</v>
      </c>
      <c r="H13" s="45">
        <v>0.04</v>
      </c>
    </row>
    <row r="14" spans="1:8" x14ac:dyDescent="0.3">
      <c r="A14" s="1" t="s">
        <v>70</v>
      </c>
      <c r="B14" s="98">
        <v>0</v>
      </c>
      <c r="F14" s="15"/>
      <c r="G14" s="12" t="s">
        <v>47</v>
      </c>
      <c r="H14" s="45">
        <v>0.01</v>
      </c>
    </row>
    <row r="15" spans="1:8" x14ac:dyDescent="0.3">
      <c r="A15" s="1" t="s">
        <v>86</v>
      </c>
      <c r="B15" s="98">
        <v>0</v>
      </c>
      <c r="F15" s="15"/>
      <c r="G15" s="12" t="s">
        <v>131</v>
      </c>
      <c r="H15" s="45">
        <v>0.09</v>
      </c>
    </row>
    <row r="16" spans="1:8" x14ac:dyDescent="0.3">
      <c r="A16" s="1" t="s">
        <v>73</v>
      </c>
      <c r="B16" s="98">
        <v>25.13</v>
      </c>
      <c r="F16" s="10" t="s">
        <v>50</v>
      </c>
      <c r="G16" s="10" t="s">
        <v>51</v>
      </c>
      <c r="H16" s="4"/>
    </row>
    <row r="17" spans="1:13" x14ac:dyDescent="0.3">
      <c r="A17" s="1" t="s">
        <v>74</v>
      </c>
      <c r="B17" s="98">
        <v>26.45</v>
      </c>
      <c r="F17" s="15"/>
      <c r="G17" s="12" t="s">
        <v>44</v>
      </c>
      <c r="H17" s="49">
        <v>-0.05</v>
      </c>
    </row>
    <row r="18" spans="1:13" x14ac:dyDescent="0.3">
      <c r="F18" s="15"/>
      <c r="G18" s="12" t="s">
        <v>45</v>
      </c>
      <c r="H18" s="45">
        <v>0.08</v>
      </c>
    </row>
    <row r="19" spans="1:13" x14ac:dyDescent="0.3">
      <c r="A19" s="1" t="s">
        <v>36</v>
      </c>
      <c r="B19" s="45">
        <v>7.1999999999999995E-2</v>
      </c>
      <c r="F19" s="15"/>
      <c r="G19" s="12" t="s">
        <v>46</v>
      </c>
      <c r="H19" s="45">
        <v>0.09</v>
      </c>
    </row>
    <row r="20" spans="1:13" x14ac:dyDescent="0.3">
      <c r="A20" s="1" t="s">
        <v>134</v>
      </c>
      <c r="B20" s="45">
        <v>0.11749999999999999</v>
      </c>
      <c r="F20" s="15"/>
      <c r="G20" s="12" t="s">
        <v>47</v>
      </c>
      <c r="H20" s="45">
        <v>0.01</v>
      </c>
    </row>
    <row r="21" spans="1:13" x14ac:dyDescent="0.3">
      <c r="A21" s="115" t="s">
        <v>133</v>
      </c>
      <c r="B21" s="45">
        <v>0.15</v>
      </c>
      <c r="F21" s="15"/>
      <c r="G21" s="12" t="s">
        <v>131</v>
      </c>
      <c r="H21" s="45">
        <v>0.05</v>
      </c>
      <c r="M21" s="3"/>
    </row>
    <row r="22" spans="1:13" x14ac:dyDescent="0.3">
      <c r="A22" s="115" t="s">
        <v>132</v>
      </c>
      <c r="B22" s="45">
        <v>0.19</v>
      </c>
      <c r="M22" s="3"/>
    </row>
    <row r="23" spans="1:13" x14ac:dyDescent="0.3">
      <c r="A23" s="1" t="s">
        <v>55</v>
      </c>
      <c r="B23" s="45">
        <v>0.17</v>
      </c>
    </row>
    <row r="24" spans="1:13" x14ac:dyDescent="0.3">
      <c r="A24" s="1" t="s">
        <v>129</v>
      </c>
      <c r="B24" s="45">
        <v>2.1999999999999999E-2</v>
      </c>
    </row>
    <row r="25" spans="1:13" x14ac:dyDescent="0.3">
      <c r="A25" s="1" t="s">
        <v>142</v>
      </c>
      <c r="B25" s="45">
        <v>1.0999999999999999E-2</v>
      </c>
    </row>
    <row r="26" spans="1:13" x14ac:dyDescent="0.3">
      <c r="A26" s="1" t="s">
        <v>130</v>
      </c>
      <c r="B26" s="46">
        <v>15</v>
      </c>
    </row>
    <row r="27" spans="1:13" x14ac:dyDescent="0.3">
      <c r="A27" s="1" t="s">
        <v>35</v>
      </c>
      <c r="B27" s="45">
        <v>5.5E-2</v>
      </c>
    </row>
    <row r="28" spans="1:13" x14ac:dyDescent="0.3">
      <c r="A28" s="1" t="s">
        <v>30</v>
      </c>
      <c r="B28" s="45">
        <v>0.14000000000000001</v>
      </c>
    </row>
    <row r="29" spans="1:13" x14ac:dyDescent="0.3">
      <c r="A29" s="1" t="s">
        <v>7</v>
      </c>
      <c r="B29" s="54">
        <f>'Cost of Capital'!D34</f>
        <v>0.10453927821763231</v>
      </c>
    </row>
    <row r="30" spans="1:13" x14ac:dyDescent="0.3">
      <c r="A30" s="1" t="s">
        <v>56</v>
      </c>
      <c r="B30" s="47">
        <v>0.26</v>
      </c>
    </row>
  </sheetData>
  <mergeCells count="1">
    <mergeCell ref="F3:G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N20"/>
  <sheetViews>
    <sheetView showGridLines="0" zoomScale="115" zoomScaleNormal="115" workbookViewId="0">
      <selection activeCell="R14" sqref="R14"/>
    </sheetView>
  </sheetViews>
  <sheetFormatPr defaultRowHeight="14.4" x14ac:dyDescent="0.3"/>
  <cols>
    <col min="1" max="2" width="2.88671875" customWidth="1"/>
    <col min="3" max="3" width="14.33203125" customWidth="1"/>
    <col min="4" max="4" width="10.109375" customWidth="1"/>
    <col min="17" max="17" width="14" bestFit="1" customWidth="1"/>
    <col min="19" max="20" width="10.77734375" customWidth="1"/>
    <col min="21" max="21" width="11.33203125" customWidth="1"/>
    <col min="22" max="22" width="11" customWidth="1"/>
    <col min="23" max="23" width="11.5546875" customWidth="1"/>
  </cols>
  <sheetData>
    <row r="3" spans="2:14" x14ac:dyDescent="0.3">
      <c r="B3" s="131" t="s">
        <v>37</v>
      </c>
      <c r="C3" s="131"/>
      <c r="D3" s="39">
        <f>YEAR('Inputs &amp; Assumptions'!B4)</f>
        <v>2026</v>
      </c>
      <c r="E3" s="5">
        <f>D3+1</f>
        <v>2027</v>
      </c>
      <c r="F3" s="75">
        <f t="shared" ref="F3:N3" si="0">E3+1</f>
        <v>2028</v>
      </c>
      <c r="G3" s="75">
        <f t="shared" si="0"/>
        <v>2029</v>
      </c>
      <c r="H3" s="75">
        <f t="shared" si="0"/>
        <v>2030</v>
      </c>
      <c r="I3" s="75">
        <f t="shared" si="0"/>
        <v>2031</v>
      </c>
      <c r="J3" s="75">
        <f t="shared" si="0"/>
        <v>2032</v>
      </c>
      <c r="K3" s="75">
        <f t="shared" si="0"/>
        <v>2033</v>
      </c>
      <c r="L3" s="75">
        <f t="shared" si="0"/>
        <v>2034</v>
      </c>
      <c r="M3" s="75">
        <f t="shared" si="0"/>
        <v>2035</v>
      </c>
      <c r="N3" s="75">
        <f t="shared" si="0"/>
        <v>2036</v>
      </c>
    </row>
    <row r="4" spans="2:14" x14ac:dyDescent="0.3">
      <c r="B4" s="13" t="s">
        <v>22</v>
      </c>
      <c r="C4" s="14"/>
      <c r="D4" s="1"/>
      <c r="E4" s="1"/>
      <c r="F4" s="1"/>
      <c r="G4" s="1"/>
      <c r="H4" s="1"/>
      <c r="I4" s="1"/>
      <c r="J4" s="1"/>
      <c r="K4" s="1"/>
      <c r="L4" s="1"/>
      <c r="M4" s="1"/>
      <c r="N4" s="1"/>
    </row>
    <row r="5" spans="2:14" x14ac:dyDescent="0.3">
      <c r="B5" s="15"/>
      <c r="C5" s="12" t="s">
        <v>1</v>
      </c>
      <c r="D5" s="20">
        <v>1346</v>
      </c>
      <c r="E5" s="19">
        <f>D5*(1+E8)</f>
        <v>1560.8216</v>
      </c>
      <c r="F5" s="19">
        <f t="shared" ref="F5:N5" si="1">E5*(1+F8)</f>
        <v>1777.7084662131281</v>
      </c>
      <c r="G5" s="19">
        <f t="shared" si="1"/>
        <v>2004.5868175537539</v>
      </c>
      <c r="H5" s="19">
        <f t="shared" si="1"/>
        <v>2237.9287447802481</v>
      </c>
      <c r="I5" s="19">
        <f t="shared" si="1"/>
        <v>2473.572786292516</v>
      </c>
      <c r="J5" s="19">
        <f t="shared" si="1"/>
        <v>2725.4256529276886</v>
      </c>
      <c r="K5" s="19">
        <f t="shared" si="1"/>
        <v>2973.041967004297</v>
      </c>
      <c r="L5" s="19">
        <f t="shared" si="1"/>
        <v>3210.8853243646408</v>
      </c>
      <c r="M5" s="19">
        <f t="shared" si="1"/>
        <v>3433.2514001008449</v>
      </c>
      <c r="N5" s="19">
        <f t="shared" si="1"/>
        <v>3634.4899449080008</v>
      </c>
    </row>
    <row r="6" spans="2:14" x14ac:dyDescent="0.3">
      <c r="B6" s="15"/>
      <c r="C6" s="12" t="s">
        <v>38</v>
      </c>
      <c r="D6" s="21">
        <v>9.5000000000000001E-2</v>
      </c>
      <c r="E6" s="28">
        <f>'Inputs &amp; Assumptions'!H5</f>
        <v>0.115</v>
      </c>
      <c r="F6" s="28">
        <f>(1+'Inputs &amp; Assumptions'!$H$6)*EXP(0.01*((4+1)/2-COLUMNS('Revenue Build'!$F$6:F6)))-1</f>
        <v>0.11662437107729096</v>
      </c>
      <c r="G6" s="28">
        <f>(1+'Inputs &amp; Assumptions'!$H$6)*EXP(0.01*((4+1)/2-COLUMNS('Revenue Build'!$F$6:G6)))-1</f>
        <v>0.10551377294534126</v>
      </c>
      <c r="H6" s="28">
        <f>(1+'Inputs &amp; Assumptions'!$H$6)*EXP(0.01*((4+1)/2-COLUMNS('Revenue Build'!$F$6:H6)))-1</f>
        <v>9.4513727111950718E-2</v>
      </c>
      <c r="I6" s="28">
        <f>(1+'Inputs &amp; Assumptions'!$H$6)*EXP(0.01*((4+1)/2-COLUMNS('Revenue Build'!$F$6:I6)))-1</f>
        <v>8.3623133563369034E-2</v>
      </c>
      <c r="J6" s="26" t="s">
        <v>23</v>
      </c>
      <c r="K6" s="26" t="s">
        <v>23</v>
      </c>
      <c r="L6" s="26" t="s">
        <v>23</v>
      </c>
      <c r="M6" s="26" t="s">
        <v>23</v>
      </c>
      <c r="N6" s="26" t="s">
        <v>23</v>
      </c>
    </row>
    <row r="7" spans="2:14" x14ac:dyDescent="0.3">
      <c r="B7" s="15"/>
      <c r="C7" s="12" t="s">
        <v>39</v>
      </c>
      <c r="D7" s="21">
        <v>-1.4E-2</v>
      </c>
      <c r="E7" s="28">
        <f>'Inputs &amp; Assumptions'!H7</f>
        <v>0.04</v>
      </c>
      <c r="F7" s="28">
        <f>'Inputs &amp; Assumptions'!$H$8</f>
        <v>0.02</v>
      </c>
      <c r="G7" s="28">
        <f>'Inputs &amp; Assumptions'!$H$8</f>
        <v>0.02</v>
      </c>
      <c r="H7" s="28">
        <f>'Inputs &amp; Assumptions'!$H$8</f>
        <v>0.02</v>
      </c>
      <c r="I7" s="28">
        <f>'Inputs &amp; Assumptions'!$H$8</f>
        <v>0.02</v>
      </c>
      <c r="J7" s="26" t="s">
        <v>23</v>
      </c>
      <c r="K7" s="26" t="s">
        <v>23</v>
      </c>
      <c r="L7" s="26" t="s">
        <v>23</v>
      </c>
      <c r="M7" s="26" t="s">
        <v>23</v>
      </c>
      <c r="N7" s="26" t="s">
        <v>23</v>
      </c>
    </row>
    <row r="8" spans="2:14" x14ac:dyDescent="0.3">
      <c r="B8" s="15"/>
      <c r="C8" s="12" t="s">
        <v>41</v>
      </c>
      <c r="D8" s="21">
        <v>8.1000000000000003E-2</v>
      </c>
      <c r="E8" s="18">
        <f>(1+E6)*(1+E7)-1</f>
        <v>0.15959999999999996</v>
      </c>
      <c r="F8" s="18">
        <f t="shared" ref="F8:I8" si="2">(1+F6)*(1+F7)-1</f>
        <v>0.13895685849883677</v>
      </c>
      <c r="G8" s="18">
        <f t="shared" si="2"/>
        <v>0.12762404840424812</v>
      </c>
      <c r="H8" s="18">
        <f t="shared" si="2"/>
        <v>0.11640400165418985</v>
      </c>
      <c r="I8" s="18">
        <f t="shared" si="2"/>
        <v>0.10529559623463647</v>
      </c>
      <c r="J8" s="28">
        <f>(1+'Inputs &amp; Assumptions'!$H$9)*EXP(0.01*((5+1)/2-COLUMNS('Revenue Build'!$J$8:J8)))-1</f>
        <v>0.10181744722889641</v>
      </c>
      <c r="K8" s="28">
        <f>(1+'Inputs &amp; Assumptions'!$H$9)*EXP(0.01*((5+1)/2-COLUMNS('Revenue Build'!$J$8:K8)))-1</f>
        <v>9.0854180450901545E-2</v>
      </c>
      <c r="L8" s="28">
        <f>(1+'Inputs &amp; Assumptions'!$H$9)*EXP(0.01*((5+1)/2-COLUMNS('Revenue Build'!$J$8:L8)))-1</f>
        <v>8.0000000000000071E-2</v>
      </c>
      <c r="M8" s="28">
        <f>(1+'Inputs &amp; Assumptions'!$H$9)*EXP(0.01*((5+1)/2-COLUMNS('Revenue Build'!$J$8:M8)))-1</f>
        <v>6.9253820449101555E-2</v>
      </c>
      <c r="N8" s="28">
        <f>(1+'Inputs &amp; Assumptions'!$H$9)*EXP(0.01*((5+1)/2-COLUMNS('Revenue Build'!$J$8:N8)))-1</f>
        <v>5.8614567171295651E-2</v>
      </c>
    </row>
    <row r="9" spans="2:14" x14ac:dyDescent="0.3">
      <c r="B9" s="16" t="s">
        <v>40</v>
      </c>
      <c r="C9" s="17"/>
      <c r="D9" s="1"/>
      <c r="E9" s="1"/>
      <c r="F9" s="1"/>
      <c r="G9" s="1"/>
      <c r="H9" s="1"/>
      <c r="I9" s="1"/>
      <c r="J9" s="1"/>
      <c r="K9" s="1"/>
      <c r="L9" s="1"/>
      <c r="M9" s="1"/>
      <c r="N9" s="1"/>
    </row>
    <row r="10" spans="2:14" x14ac:dyDescent="0.3">
      <c r="B10" s="15"/>
      <c r="C10" s="12" t="s">
        <v>1</v>
      </c>
      <c r="D10" s="20">
        <v>1277</v>
      </c>
      <c r="E10" s="19">
        <f>D10*(1+E13)</f>
        <v>1155.4296000000002</v>
      </c>
      <c r="F10" s="19">
        <f t="shared" ref="F10:N10" si="3">E10*(1+F13)</f>
        <v>1326.7750709088421</v>
      </c>
      <c r="G10" s="19">
        <f t="shared" si="3"/>
        <v>1508.3709919194346</v>
      </c>
      <c r="H10" s="19">
        <f t="shared" si="3"/>
        <v>1697.7592125919073</v>
      </c>
      <c r="I10" s="19">
        <f t="shared" si="3"/>
        <v>1891.9126235568565</v>
      </c>
      <c r="J10" s="19">
        <f t="shared" si="3"/>
        <v>2103.8436552052017</v>
      </c>
      <c r="K10" s="19">
        <f t="shared" si="3"/>
        <v>2316.2365226502889</v>
      </c>
      <c r="L10" s="19">
        <f t="shared" si="3"/>
        <v>2524.6978096888151</v>
      </c>
      <c r="M10" s="19">
        <f t="shared" si="3"/>
        <v>2724.5385449567375</v>
      </c>
      <c r="N10" s="19">
        <f t="shared" si="3"/>
        <v>2910.9420831822858</v>
      </c>
    </row>
    <row r="11" spans="2:14" x14ac:dyDescent="0.3">
      <c r="B11" s="15"/>
      <c r="C11" s="12" t="s">
        <v>38</v>
      </c>
      <c r="D11" s="21">
        <v>3.4000000000000002E-2</v>
      </c>
      <c r="E11" s="28">
        <f>'Inputs &amp; Assumptions'!H11</f>
        <v>-0.13</v>
      </c>
      <c r="F11" s="28">
        <f>(1+'Inputs &amp; Assumptions'!$H$12)*EXP(0.01*((4+1)/2-COLUMNS('Revenue Build'!$F$11:F11)))-1</f>
        <v>0.13692663236960523</v>
      </c>
      <c r="G11" s="28">
        <f>(1+'Inputs &amp; Assumptions'!$H$12)*EXP(0.01*((4+1)/2-COLUMNS('Revenue Build'!$F$11:G11)))-1</f>
        <v>0.12561402336252914</v>
      </c>
      <c r="H11" s="28">
        <f>(1+'Inputs &amp; Assumptions'!$H$12)*EXP(0.01*((4+1)/2-COLUMNS('Revenue Build'!$F$11:H11)))-1</f>
        <v>0.11441397669580433</v>
      </c>
      <c r="I11" s="28">
        <f>(1+'Inputs &amp; Assumptions'!$H$12)*EXP(0.01*((4+1)/2-COLUMNS('Revenue Build'!$F$11:I11)))-1</f>
        <v>0.10332537235543038</v>
      </c>
      <c r="J11" s="26" t="s">
        <v>23</v>
      </c>
      <c r="K11" s="26" t="s">
        <v>23</v>
      </c>
      <c r="L11" s="26" t="s">
        <v>23</v>
      </c>
      <c r="M11" s="26" t="s">
        <v>23</v>
      </c>
      <c r="N11" s="26" t="s">
        <v>23</v>
      </c>
    </row>
    <row r="12" spans="2:14" x14ac:dyDescent="0.3">
      <c r="B12" s="15"/>
      <c r="C12" s="12" t="s">
        <v>39</v>
      </c>
      <c r="D12" s="21">
        <v>-4.7E-2</v>
      </c>
      <c r="E12" s="28">
        <f>'Inputs &amp; Assumptions'!H13</f>
        <v>0.04</v>
      </c>
      <c r="F12" s="28">
        <f>'Inputs &amp; Assumptions'!$H$14</f>
        <v>0.01</v>
      </c>
      <c r="G12" s="28">
        <f>'Inputs &amp; Assumptions'!$H$14</f>
        <v>0.01</v>
      </c>
      <c r="H12" s="28">
        <f>'Inputs &amp; Assumptions'!$H$14</f>
        <v>0.01</v>
      </c>
      <c r="I12" s="28">
        <f>'Inputs &amp; Assumptions'!$H$14</f>
        <v>0.01</v>
      </c>
      <c r="J12" s="26" t="s">
        <v>23</v>
      </c>
      <c r="K12" s="26" t="s">
        <v>23</v>
      </c>
      <c r="L12" s="26" t="s">
        <v>23</v>
      </c>
      <c r="M12" s="26" t="s">
        <v>23</v>
      </c>
      <c r="N12" s="26" t="s">
        <v>23</v>
      </c>
    </row>
    <row r="13" spans="2:14" x14ac:dyDescent="0.3">
      <c r="B13" s="15"/>
      <c r="C13" s="12" t="s">
        <v>41</v>
      </c>
      <c r="D13" s="21">
        <v>-1.2999999999999999E-2</v>
      </c>
      <c r="E13" s="18">
        <f>(1+E11)*(1+E12)-1</f>
        <v>-9.5199999999999951E-2</v>
      </c>
      <c r="F13" s="18">
        <f t="shared" ref="F13:I13" si="4">(1+F11)*(1+F12)-1</f>
        <v>0.1482958986933014</v>
      </c>
      <c r="G13" s="18">
        <f t="shared" si="4"/>
        <v>0.13687016359615445</v>
      </c>
      <c r="H13" s="18">
        <f t="shared" si="4"/>
        <v>0.12555811646276238</v>
      </c>
      <c r="I13" s="18">
        <f t="shared" si="4"/>
        <v>0.11435862607898462</v>
      </c>
      <c r="J13" s="28">
        <f>(1+'Inputs &amp; Assumptions'!$H$15)*EXP(0.01*((5+1)/2-COLUMNS('Revenue Build'!$J$13:J13)))-1</f>
        <v>0.11201946062916379</v>
      </c>
      <c r="K13" s="28">
        <f>(1+'Inputs &amp; Assumptions'!$H$15)*EXP(0.01*((5+1)/2-COLUMNS('Revenue Build'!$J$13:K13)))-1</f>
        <v>0.10095468212174308</v>
      </c>
      <c r="L13" s="28">
        <f>(1+'Inputs &amp; Assumptions'!$H$15)*EXP(0.01*((5+1)/2-COLUMNS('Revenue Build'!$J$13:L13)))-1</f>
        <v>9.000000000000008E-2</v>
      </c>
      <c r="M13" s="28">
        <f>(1+'Inputs &amp; Assumptions'!$H$15)*EXP(0.01*((5+1)/2-COLUMNS('Revenue Build'!$J$13:M13)))-1</f>
        <v>7.9154318786593292E-2</v>
      </c>
      <c r="N13" s="28">
        <f>(1+'Inputs &amp; Assumptions'!$H$15)*EXP(0.01*((5+1)/2-COLUMNS('Revenue Build'!$J$13:N13)))-1</f>
        <v>6.8416553904363298E-2</v>
      </c>
    </row>
    <row r="14" spans="2:14" x14ac:dyDescent="0.3">
      <c r="B14" s="16" t="s">
        <v>24</v>
      </c>
      <c r="C14" s="17"/>
      <c r="D14" s="1"/>
      <c r="E14" s="1"/>
      <c r="F14" s="1"/>
      <c r="G14" s="1"/>
      <c r="H14" s="1"/>
      <c r="I14" s="1"/>
      <c r="J14" s="1"/>
      <c r="K14" s="1"/>
      <c r="L14" s="1"/>
      <c r="M14" s="1"/>
      <c r="N14" s="1"/>
    </row>
    <row r="15" spans="2:14" x14ac:dyDescent="0.3">
      <c r="B15" s="15"/>
      <c r="C15" s="12" t="s">
        <v>1</v>
      </c>
      <c r="D15" s="20">
        <v>321</v>
      </c>
      <c r="E15" s="19">
        <f>D15*(1+E18)</f>
        <v>332.39550000000003</v>
      </c>
      <c r="F15" s="19">
        <f t="shared" ref="F15:N15" si="5">E15*(1+F18)</f>
        <v>368.05666120146253</v>
      </c>
      <c r="G15" s="19">
        <f t="shared" si="5"/>
        <v>403.48861389587682</v>
      </c>
      <c r="H15" s="19">
        <f t="shared" si="5"/>
        <v>437.93024554685621</v>
      </c>
      <c r="I15" s="19">
        <f t="shared" si="5"/>
        <v>470.5823700765261</v>
      </c>
      <c r="J15" s="19">
        <f t="shared" si="5"/>
        <v>504.09320277229057</v>
      </c>
      <c r="K15" s="19">
        <f t="shared" si="5"/>
        <v>534.61739487045281</v>
      </c>
      <c r="L15" s="19">
        <f t="shared" si="5"/>
        <v>561.34826461397552</v>
      </c>
      <c r="M15" s="19">
        <f t="shared" si="5"/>
        <v>583.55089385927306</v>
      </c>
      <c r="N15" s="19">
        <f t="shared" si="5"/>
        <v>600.59560256622217</v>
      </c>
    </row>
    <row r="16" spans="2:14" x14ac:dyDescent="0.3">
      <c r="B16" s="15"/>
      <c r="C16" s="12" t="s">
        <v>38</v>
      </c>
      <c r="D16" s="21">
        <v>1.6E-2</v>
      </c>
      <c r="E16" s="28">
        <f>'Inputs &amp; Assumptions'!H17</f>
        <v>-0.05</v>
      </c>
      <c r="F16" s="28">
        <f>(1+'Inputs &amp; Assumptions'!$H$18)*EXP(0.01*((4+1)/2-COLUMNS('Revenue Build'!$F$16:F16)))-1</f>
        <v>9.6322109784976462E-2</v>
      </c>
      <c r="G16" s="28">
        <f>(1+'Inputs &amp; Assumptions'!$H$18)*EXP(0.01*((4+1)/2-COLUMNS('Revenue Build'!$F$16:G16)))-1</f>
        <v>8.5413522528153152E-2</v>
      </c>
      <c r="H16" s="28">
        <f>(1+'Inputs &amp; Assumptions'!$H$18)*EXP(0.01*((4+1)/2-COLUMNS('Revenue Build'!$F$16:H16)))-1</f>
        <v>7.4613477528096883E-2</v>
      </c>
      <c r="I16" s="28">
        <f>(1+'Inputs &amp; Assumptions'!$H$18)*EXP(0.01*((4+1)/2-COLUMNS('Revenue Build'!$F$16:I16)))-1</f>
        <v>6.392089477130769E-2</v>
      </c>
      <c r="J16" s="26" t="s">
        <v>23</v>
      </c>
      <c r="K16" s="26" t="s">
        <v>23</v>
      </c>
      <c r="L16" s="26" t="s">
        <v>23</v>
      </c>
      <c r="M16" s="26" t="s">
        <v>23</v>
      </c>
      <c r="N16" s="26" t="s">
        <v>23</v>
      </c>
    </row>
    <row r="17" spans="2:14" x14ac:dyDescent="0.3">
      <c r="B17" s="15"/>
      <c r="C17" s="12" t="s">
        <v>39</v>
      </c>
      <c r="D17" s="21">
        <v>3.5999999999999997E-2</v>
      </c>
      <c r="E17" s="28">
        <f>'Inputs &amp; Assumptions'!H19</f>
        <v>0.09</v>
      </c>
      <c r="F17" s="28">
        <f>'Inputs &amp; Assumptions'!$H$20</f>
        <v>0.01</v>
      </c>
      <c r="G17" s="28">
        <f>'Inputs &amp; Assumptions'!$H$20</f>
        <v>0.01</v>
      </c>
      <c r="H17" s="28">
        <f>'Inputs &amp; Assumptions'!$H$20</f>
        <v>0.01</v>
      </c>
      <c r="I17" s="28">
        <f>'Inputs &amp; Assumptions'!$H$20</f>
        <v>0.01</v>
      </c>
      <c r="J17" s="26" t="s">
        <v>23</v>
      </c>
      <c r="K17" s="26" t="s">
        <v>23</v>
      </c>
      <c r="L17" s="26" t="s">
        <v>23</v>
      </c>
      <c r="M17" s="26" t="s">
        <v>23</v>
      </c>
      <c r="N17" s="26" t="s">
        <v>23</v>
      </c>
    </row>
    <row r="18" spans="2:14" x14ac:dyDescent="0.3">
      <c r="B18" s="15"/>
      <c r="C18" s="12" t="s">
        <v>41</v>
      </c>
      <c r="D18" s="21">
        <v>5.1999999999999998E-2</v>
      </c>
      <c r="E18" s="18">
        <f>(1+E16)*(1+E17)-1</f>
        <v>3.5500000000000087E-2</v>
      </c>
      <c r="F18" s="18">
        <f t="shared" ref="F18:I18" si="6">(1+F16)*(1+F17)-1</f>
        <v>0.10728533088282632</v>
      </c>
      <c r="G18" s="18">
        <f t="shared" si="6"/>
        <v>9.626765775343471E-2</v>
      </c>
      <c r="H18" s="18">
        <f t="shared" si="6"/>
        <v>8.5359612303377963E-2</v>
      </c>
      <c r="I18" s="18">
        <f t="shared" si="6"/>
        <v>7.4560103719020887E-2</v>
      </c>
      <c r="J18" s="28">
        <f>(1+'Inputs &amp; Assumptions'!$H$21)*EXP(0.01*((5+1)/2-COLUMNS('Revenue Build'!$J$18:J18)))-1</f>
        <v>7.1211407028093587E-2</v>
      </c>
      <c r="K18" s="28">
        <f>(1+'Inputs &amp; Assumptions'!$H$21)*EXP(0.01*((5+1)/2-COLUMNS('Revenue Build'!$J$18:K18)))-1</f>
        <v>6.0552675438376502E-2</v>
      </c>
      <c r="L18" s="28">
        <f>(1+'Inputs &amp; Assumptions'!$H$21)*EXP(0.01*((5+1)/2-COLUMNS('Revenue Build'!$J$18:L18)))-1</f>
        <v>5.0000000000000044E-2</v>
      </c>
      <c r="M18" s="28">
        <f>(1+'Inputs &amp; Assumptions'!$H$21)*EXP(0.01*((5+1)/2-COLUMNS('Revenue Build'!$J$18:M18)))-1</f>
        <v>3.9552325436626568E-2</v>
      </c>
      <c r="N18" s="28">
        <f>(1+'Inputs &amp; Assumptions'!$H$21)*EXP(0.01*((5+1)/2-COLUMNS('Revenue Build'!$J$18:N18)))-1</f>
        <v>2.9208606972093154E-2</v>
      </c>
    </row>
    <row r="19" spans="2:14" x14ac:dyDescent="0.3">
      <c r="B19" s="132" t="s">
        <v>53</v>
      </c>
      <c r="C19" s="133"/>
      <c r="D19" s="24">
        <f>D5+D10+D15</f>
        <v>2944</v>
      </c>
      <c r="E19" s="29">
        <f>E5+E10+E15</f>
        <v>3048.6467000000002</v>
      </c>
      <c r="F19" s="29">
        <f t="shared" ref="F19:N19" si="7">F5+F10+F15</f>
        <v>3472.5401983234328</v>
      </c>
      <c r="G19" s="29">
        <f t="shared" si="7"/>
        <v>3916.4464233690655</v>
      </c>
      <c r="H19" s="29">
        <f t="shared" si="7"/>
        <v>4373.6182029190113</v>
      </c>
      <c r="I19" s="29">
        <f t="shared" si="7"/>
        <v>4836.0677799258983</v>
      </c>
      <c r="J19" s="29">
        <f t="shared" si="7"/>
        <v>5333.3625109051809</v>
      </c>
      <c r="K19" s="29">
        <f t="shared" si="7"/>
        <v>5823.8958845250381</v>
      </c>
      <c r="L19" s="29">
        <f t="shared" si="7"/>
        <v>6296.9313986674315</v>
      </c>
      <c r="M19" s="29">
        <f t="shared" si="7"/>
        <v>6741.3408389168553</v>
      </c>
      <c r="N19" s="29">
        <f t="shared" si="7"/>
        <v>7146.0276306565083</v>
      </c>
    </row>
    <row r="20" spans="2:14" x14ac:dyDescent="0.3">
      <c r="B20" s="132" t="s">
        <v>2</v>
      </c>
      <c r="C20" s="133"/>
      <c r="D20" s="23">
        <v>3.5000000000000003E-2</v>
      </c>
      <c r="E20" s="30">
        <f>(E19/D19)-1</f>
        <v>3.5545754076087066E-2</v>
      </c>
      <c r="F20" s="30">
        <f t="shared" ref="F20:N20" si="8">(F19/E19)-1</f>
        <v>0.13904316899804514</v>
      </c>
      <c r="G20" s="30">
        <f t="shared" si="8"/>
        <v>0.12783328620931544</v>
      </c>
      <c r="H20" s="30">
        <f t="shared" si="8"/>
        <v>0.11673127374398518</v>
      </c>
      <c r="I20" s="30">
        <f t="shared" si="8"/>
        <v>0.10573615609571085</v>
      </c>
      <c r="J20" s="30">
        <f t="shared" si="8"/>
        <v>0.10283038898741448</v>
      </c>
      <c r="K20" s="30">
        <f t="shared" si="8"/>
        <v>9.1974504380090139E-2</v>
      </c>
      <c r="L20" s="30">
        <f t="shared" si="8"/>
        <v>8.1223209260886664E-2</v>
      </c>
      <c r="M20" s="30">
        <f t="shared" si="8"/>
        <v>7.0575556904347136E-2</v>
      </c>
      <c r="N20" s="30">
        <f t="shared" si="8"/>
        <v>6.0030608362575455E-2</v>
      </c>
    </row>
  </sheetData>
  <mergeCells count="3">
    <mergeCell ref="B3:C3"/>
    <mergeCell ref="B19:C19"/>
    <mergeCell ref="B20:C20"/>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D35"/>
  <sheetViews>
    <sheetView showGridLines="0" zoomScale="115" zoomScaleNormal="115" workbookViewId="0">
      <selection activeCell="G10" sqref="G10"/>
    </sheetView>
  </sheetViews>
  <sheetFormatPr defaultRowHeight="14.4" x14ac:dyDescent="0.3"/>
  <cols>
    <col min="1" max="1" width="26.44140625" customWidth="1"/>
    <col min="2" max="2" width="13.77734375" customWidth="1"/>
    <col min="3" max="3" width="12.6640625" customWidth="1"/>
    <col min="4" max="4" width="12.109375" customWidth="1"/>
  </cols>
  <sheetData>
    <row r="2" spans="1:2" x14ac:dyDescent="0.3">
      <c r="A2" s="132" t="s">
        <v>67</v>
      </c>
      <c r="B2" s="133"/>
    </row>
    <row r="3" spans="1:2" x14ac:dyDescent="0.3">
      <c r="A3" s="1" t="s">
        <v>62</v>
      </c>
      <c r="B3" s="89">
        <f>'Inputs &amp; Assumptions'!B10</f>
        <v>36.72</v>
      </c>
    </row>
    <row r="4" spans="1:2" x14ac:dyDescent="0.3">
      <c r="A4" s="1" t="s">
        <v>61</v>
      </c>
      <c r="B4" s="90">
        <f>'Inputs &amp; Assumptions'!B9</f>
        <v>195</v>
      </c>
    </row>
    <row r="5" spans="1:2" x14ac:dyDescent="0.3">
      <c r="A5" s="1" t="s">
        <v>63</v>
      </c>
      <c r="B5" s="88">
        <f>'Inputs &amp; Assumptions'!B11</f>
        <v>7160.4</v>
      </c>
    </row>
    <row r="6" spans="1:2" x14ac:dyDescent="0.3">
      <c r="A6" s="1"/>
      <c r="B6" s="4"/>
    </row>
    <row r="7" spans="1:2" x14ac:dyDescent="0.3">
      <c r="A7" s="1" t="s">
        <v>64</v>
      </c>
      <c r="B7" s="93">
        <v>6.9599999999999995E-2</v>
      </c>
    </row>
    <row r="8" spans="1:2" x14ac:dyDescent="0.3">
      <c r="A8" s="1" t="s">
        <v>65</v>
      </c>
      <c r="B8" s="94">
        <v>0.51</v>
      </c>
    </row>
    <row r="9" spans="1:2" x14ac:dyDescent="0.3">
      <c r="A9" s="1" t="s">
        <v>66</v>
      </c>
      <c r="B9" s="93">
        <v>6.9199999999999998E-2</v>
      </c>
    </row>
    <row r="10" spans="1:2" ht="15" thickBot="1" x14ac:dyDescent="0.35">
      <c r="A10" s="10" t="s">
        <v>60</v>
      </c>
      <c r="B10" s="95">
        <f>B7+(B8*B9)</f>
        <v>0.10489199999999999</v>
      </c>
    </row>
    <row r="11" spans="1:2" ht="15" thickTop="1" x14ac:dyDescent="0.3"/>
    <row r="12" spans="1:2" x14ac:dyDescent="0.3">
      <c r="A12" s="132" t="s">
        <v>68</v>
      </c>
      <c r="B12" s="133"/>
    </row>
    <row r="13" spans="1:2" x14ac:dyDescent="0.3">
      <c r="A13" s="1" t="s">
        <v>69</v>
      </c>
      <c r="B13" s="88">
        <f>'Inputs &amp; Assumptions'!B13</f>
        <v>0</v>
      </c>
    </row>
    <row r="14" spans="1:2" x14ac:dyDescent="0.3">
      <c r="A14" s="1" t="s">
        <v>70</v>
      </c>
      <c r="B14" s="88">
        <f>'Inputs &amp; Assumptions'!B14</f>
        <v>0</v>
      </c>
    </row>
    <row r="15" spans="1:2" x14ac:dyDescent="0.3">
      <c r="A15" s="1" t="s">
        <v>71</v>
      </c>
      <c r="B15" s="88">
        <f>'Inputs &amp; Assumptions'!B15</f>
        <v>0</v>
      </c>
    </row>
    <row r="16" spans="1:2" x14ac:dyDescent="0.3">
      <c r="A16" s="10" t="s">
        <v>72</v>
      </c>
      <c r="B16" s="80">
        <f>SUM(B13:B15)</f>
        <v>0</v>
      </c>
    </row>
    <row r="17" spans="1:4" x14ac:dyDescent="0.3">
      <c r="A17" s="1"/>
      <c r="B17" s="80"/>
    </row>
    <row r="18" spans="1:4" x14ac:dyDescent="0.3">
      <c r="A18" s="1" t="s">
        <v>73</v>
      </c>
      <c r="B18" s="91">
        <f>'Inputs &amp; Assumptions'!B16</f>
        <v>25.13</v>
      </c>
    </row>
    <row r="19" spans="1:4" x14ac:dyDescent="0.3">
      <c r="A19" s="1" t="s">
        <v>74</v>
      </c>
      <c r="B19" s="91">
        <f>'Inputs &amp; Assumptions'!B17</f>
        <v>26.45</v>
      </c>
    </row>
    <row r="20" spans="1:4" x14ac:dyDescent="0.3">
      <c r="A20" s="10" t="s">
        <v>75</v>
      </c>
      <c r="B20" s="92">
        <f>SUM(B18:B19)</f>
        <v>51.58</v>
      </c>
    </row>
    <row r="21" spans="1:4" x14ac:dyDescent="0.3">
      <c r="A21" s="1"/>
      <c r="B21" s="92"/>
    </row>
    <row r="22" spans="1:4" x14ac:dyDescent="0.3">
      <c r="A22" s="10" t="s">
        <v>76</v>
      </c>
      <c r="B22" s="92">
        <f>B16+B20</f>
        <v>51.58</v>
      </c>
    </row>
    <row r="23" spans="1:4" x14ac:dyDescent="0.3">
      <c r="A23" s="1"/>
      <c r="B23" s="4"/>
    </row>
    <row r="24" spans="1:4" x14ac:dyDescent="0.3">
      <c r="A24" s="1" t="s">
        <v>56</v>
      </c>
      <c r="B24" s="96">
        <f>'Inputs &amp; Assumptions'!B30</f>
        <v>0.26</v>
      </c>
    </row>
    <row r="25" spans="1:4" x14ac:dyDescent="0.3">
      <c r="A25" s="1" t="s">
        <v>88</v>
      </c>
      <c r="B25" s="94" t="s">
        <v>89</v>
      </c>
    </row>
    <row r="26" spans="1:4" x14ac:dyDescent="0.3">
      <c r="A26" s="1" t="s">
        <v>64</v>
      </c>
      <c r="B26" s="93">
        <f>B7</f>
        <v>6.9599999999999995E-2</v>
      </c>
    </row>
    <row r="27" spans="1:4" x14ac:dyDescent="0.3">
      <c r="A27" s="1" t="s">
        <v>90</v>
      </c>
      <c r="B27" s="93">
        <v>5.4999999999999997E-3</v>
      </c>
    </row>
    <row r="28" spans="1:4" x14ac:dyDescent="0.3">
      <c r="A28" s="51" t="s">
        <v>87</v>
      </c>
      <c r="B28" s="97">
        <f>B26+B27</f>
        <v>7.51E-2</v>
      </c>
    </row>
    <row r="29" spans="1:4" ht="15" thickBot="1" x14ac:dyDescent="0.35">
      <c r="A29" s="10" t="s">
        <v>91</v>
      </c>
      <c r="B29" s="95">
        <f>B28*(1-B24)</f>
        <v>5.5573999999999998E-2</v>
      </c>
    </row>
    <row r="30" spans="1:4" ht="15" thickTop="1" x14ac:dyDescent="0.3"/>
    <row r="31" spans="1:4" x14ac:dyDescent="0.3">
      <c r="A31" s="25" t="s">
        <v>77</v>
      </c>
      <c r="B31" s="25" t="s">
        <v>78</v>
      </c>
      <c r="C31" s="25" t="s">
        <v>79</v>
      </c>
      <c r="D31" s="25" t="s">
        <v>80</v>
      </c>
    </row>
    <row r="32" spans="1:4" x14ac:dyDescent="0.3">
      <c r="A32" s="1" t="s">
        <v>81</v>
      </c>
      <c r="B32" s="78">
        <f>B5</f>
        <v>7160.4</v>
      </c>
      <c r="C32" s="50">
        <f>B32/$B$34</f>
        <v>0.99284801122576605</v>
      </c>
      <c r="D32" s="52">
        <f>B10</f>
        <v>0.10489199999999999</v>
      </c>
    </row>
    <row r="33" spans="1:4" x14ac:dyDescent="0.3">
      <c r="A33" s="1" t="s">
        <v>83</v>
      </c>
      <c r="B33" s="78">
        <f>B22</f>
        <v>51.58</v>
      </c>
      <c r="C33" s="50">
        <f>B33/$B$34</f>
        <v>7.1519887742339831E-3</v>
      </c>
      <c r="D33" s="52">
        <f>B29</f>
        <v>5.5573999999999998E-2</v>
      </c>
    </row>
    <row r="34" spans="1:4" ht="15" thickBot="1" x14ac:dyDescent="0.35">
      <c r="A34" s="10" t="s">
        <v>82</v>
      </c>
      <c r="B34" s="78">
        <f>SUM(B32:B33)</f>
        <v>7211.98</v>
      </c>
      <c r="C34" s="53">
        <f>SUM(C32:C33)</f>
        <v>1</v>
      </c>
      <c r="D34" s="56">
        <f>C32*D32+C33*D33</f>
        <v>0.10453927821763231</v>
      </c>
    </row>
    <row r="35" spans="1:4" ht="15" thickTop="1" x14ac:dyDescent="0.3"/>
  </sheetData>
  <mergeCells count="2">
    <mergeCell ref="A2:B2"/>
    <mergeCell ref="A12:B12"/>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Y36"/>
  <sheetViews>
    <sheetView showGridLines="0" topLeftCell="A16" zoomScale="115" zoomScaleNormal="115" workbookViewId="0">
      <selection activeCell="P27" sqref="P27"/>
    </sheetView>
  </sheetViews>
  <sheetFormatPr defaultRowHeight="14.4" x14ac:dyDescent="0.3"/>
  <cols>
    <col min="1" max="1" width="2.77734375" customWidth="1"/>
    <col min="2" max="2" width="22.6640625" customWidth="1"/>
    <col min="3" max="3" width="8.88671875" customWidth="1"/>
    <col min="4" max="6" width="9.33203125" bestFit="1" customWidth="1"/>
    <col min="7" max="7" width="8.88671875" customWidth="1"/>
    <col min="8" max="13" width="9.33203125" bestFit="1" customWidth="1"/>
    <col min="14" max="14" width="13.5546875" customWidth="1"/>
    <col min="15" max="15" width="7.33203125" customWidth="1"/>
    <col min="16" max="16" width="14.44140625" customWidth="1"/>
    <col min="17" max="20" width="15" customWidth="1"/>
    <col min="21" max="21" width="13.109375" customWidth="1"/>
    <col min="22" max="22" width="10.77734375" customWidth="1"/>
    <col min="23" max="23" width="10.33203125" customWidth="1"/>
    <col min="24" max="24" width="11" customWidth="1"/>
    <col min="25" max="25" width="13" customWidth="1"/>
    <col min="26" max="26" width="10.6640625" customWidth="1"/>
  </cols>
  <sheetData>
    <row r="2" spans="2:25" x14ac:dyDescent="0.3">
      <c r="B2" s="2" t="s">
        <v>0</v>
      </c>
      <c r="C2" s="39">
        <f>YEAR('Inputs &amp; Assumptions'!B4)</f>
        <v>2026</v>
      </c>
      <c r="D2" s="5">
        <f>C2+1</f>
        <v>2027</v>
      </c>
      <c r="E2" s="75">
        <f t="shared" ref="E2:M2" si="0">D2+1</f>
        <v>2028</v>
      </c>
      <c r="F2" s="75">
        <f t="shared" si="0"/>
        <v>2029</v>
      </c>
      <c r="G2" s="75">
        <f t="shared" si="0"/>
        <v>2030</v>
      </c>
      <c r="H2" s="75">
        <f t="shared" si="0"/>
        <v>2031</v>
      </c>
      <c r="I2" s="75">
        <f t="shared" si="0"/>
        <v>2032</v>
      </c>
      <c r="J2" s="75">
        <f t="shared" si="0"/>
        <v>2033</v>
      </c>
      <c r="K2" s="75">
        <f t="shared" si="0"/>
        <v>2034</v>
      </c>
      <c r="L2" s="75">
        <f t="shared" si="0"/>
        <v>2035</v>
      </c>
      <c r="M2" s="75">
        <f t="shared" si="0"/>
        <v>2036</v>
      </c>
      <c r="N2" s="5" t="s">
        <v>28</v>
      </c>
      <c r="P2" s="2" t="s">
        <v>0</v>
      </c>
      <c r="Q2" s="39" t="s">
        <v>17</v>
      </c>
      <c r="R2" s="39" t="s">
        <v>18</v>
      </c>
      <c r="S2" s="39" t="s">
        <v>19</v>
      </c>
      <c r="T2" s="39" t="s">
        <v>20</v>
      </c>
      <c r="U2" s="39" t="s">
        <v>21</v>
      </c>
      <c r="V2" s="5" t="s">
        <v>25</v>
      </c>
      <c r="W2" s="5" t="s">
        <v>26</v>
      </c>
      <c r="X2" s="5" t="s">
        <v>27</v>
      </c>
      <c r="Y2" s="5" t="s">
        <v>54</v>
      </c>
    </row>
    <row r="3" spans="2:25" x14ac:dyDescent="0.3">
      <c r="B3" s="1" t="s">
        <v>1</v>
      </c>
      <c r="C3" s="76">
        <v>2944</v>
      </c>
      <c r="D3" s="77">
        <f>'Revenue Build'!E19</f>
        <v>3048.6467000000002</v>
      </c>
      <c r="E3" s="77">
        <f>'Revenue Build'!F19</f>
        <v>3472.5401983234328</v>
      </c>
      <c r="F3" s="77">
        <f>'Revenue Build'!G19</f>
        <v>3916.4464233690655</v>
      </c>
      <c r="G3" s="77">
        <f>'Revenue Build'!H19</f>
        <v>4373.6182029190113</v>
      </c>
      <c r="H3" s="77">
        <f>'Revenue Build'!I19</f>
        <v>4836.0677799258983</v>
      </c>
      <c r="I3" s="77">
        <f>'Revenue Build'!J19</f>
        <v>5333.3625109051809</v>
      </c>
      <c r="J3" s="77">
        <f>'Revenue Build'!K19</f>
        <v>5823.8958845250381</v>
      </c>
      <c r="K3" s="77">
        <f>'Revenue Build'!L19</f>
        <v>6296.9313986674315</v>
      </c>
      <c r="L3" s="77">
        <f>'Revenue Build'!M19</f>
        <v>6741.3408389168553</v>
      </c>
      <c r="M3" s="77">
        <f>'Revenue Build'!N19</f>
        <v>7146.0276306565083</v>
      </c>
      <c r="N3" s="78">
        <f>M3*(1+$N$4)</f>
        <v>7539.0591503426158</v>
      </c>
      <c r="P3" s="1" t="s">
        <v>1</v>
      </c>
      <c r="Q3" s="6">
        <v>751</v>
      </c>
      <c r="R3" s="6">
        <v>736</v>
      </c>
      <c r="S3" s="6">
        <v>740</v>
      </c>
      <c r="T3" s="6">
        <v>717</v>
      </c>
      <c r="U3" s="8">
        <v>773</v>
      </c>
      <c r="V3" s="34">
        <f>($Y$3-$U$3)*(R3/SUM($R$3:$T$3))</f>
        <v>763.73733296853629</v>
      </c>
      <c r="W3" s="34">
        <f t="shared" ref="W3:X3" si="1">($Y$3-$U$3)*(S3/SUM($R$3:$T$3))</f>
        <v>767.88807934336535</v>
      </c>
      <c r="X3" s="34">
        <f t="shared" si="1"/>
        <v>744.0212876880986</v>
      </c>
      <c r="Y3" s="33">
        <f>'Revenue Build'!E19</f>
        <v>3048.6467000000002</v>
      </c>
    </row>
    <row r="4" spans="2:25" x14ac:dyDescent="0.3">
      <c r="B4" s="1" t="s">
        <v>2</v>
      </c>
      <c r="C4" s="36">
        <v>3.5000000000000003E-2</v>
      </c>
      <c r="D4" s="37">
        <f>'Revenue Build'!E20</f>
        <v>3.5545754076087066E-2</v>
      </c>
      <c r="E4" s="37">
        <f>'Revenue Build'!F20</f>
        <v>0.13904316899804514</v>
      </c>
      <c r="F4" s="37">
        <f>'Revenue Build'!G20</f>
        <v>0.12783328620931544</v>
      </c>
      <c r="G4" s="37">
        <f>'Revenue Build'!H20</f>
        <v>0.11673127374398518</v>
      </c>
      <c r="H4" s="37">
        <f>'Revenue Build'!I20</f>
        <v>0.10573615609571085</v>
      </c>
      <c r="I4" s="37">
        <f>'Revenue Build'!J20</f>
        <v>0.10283038898741448</v>
      </c>
      <c r="J4" s="37">
        <f>'Revenue Build'!K20</f>
        <v>9.1974504380090139E-2</v>
      </c>
      <c r="K4" s="37">
        <f>'Revenue Build'!L20</f>
        <v>8.1223209260886664E-2</v>
      </c>
      <c r="L4" s="37">
        <f>'Revenue Build'!M20</f>
        <v>7.0575556904347136E-2</v>
      </c>
      <c r="M4" s="37">
        <f>'Revenue Build'!N20</f>
        <v>6.0030608362575455E-2</v>
      </c>
      <c r="N4" s="37">
        <f>'Inputs &amp; Assumptions'!$B$27</f>
        <v>5.5E-2</v>
      </c>
      <c r="P4" s="1" t="s">
        <v>29</v>
      </c>
      <c r="Q4" s="7">
        <v>1.35E-2</v>
      </c>
      <c r="R4" s="7">
        <v>4.0927694406549531E-3</v>
      </c>
      <c r="S4" s="7">
        <v>5.1136363636363535E-2</v>
      </c>
      <c r="T4" s="7">
        <v>7.6576576576576683E-2</v>
      </c>
      <c r="U4" s="7">
        <v>2.9294274300932122E-2</v>
      </c>
      <c r="V4" s="35" t="s">
        <v>23</v>
      </c>
      <c r="W4" s="35" t="s">
        <v>23</v>
      </c>
      <c r="X4" s="35" t="s">
        <v>23</v>
      </c>
      <c r="Y4" s="37">
        <f>'Revenue Build'!E20</f>
        <v>3.5545754076087066E-2</v>
      </c>
    </row>
    <row r="5" spans="2:25" x14ac:dyDescent="0.3">
      <c r="B5" s="1" t="s">
        <v>137</v>
      </c>
      <c r="C5" s="9">
        <v>0.1321</v>
      </c>
      <c r="D5" s="37">
        <f>'Inputs &amp; Assumptions'!B19</f>
        <v>7.1999999999999995E-2</v>
      </c>
      <c r="E5" s="37">
        <f>'Inputs &amp; Assumptions'!B20</f>
        <v>0.11749999999999999</v>
      </c>
      <c r="F5" s="37">
        <f>(1+'Inputs &amp; Assumptions'!$B$21)*EXP(0.01*(COLUMNS(Valuation!$F$5:F5)-(3+1)/2))-1</f>
        <v>0.13855730881154327</v>
      </c>
      <c r="G5" s="37">
        <f>(1+'Inputs &amp; Assumptions'!$B$21)*EXP(0.01*(COLUMNS(Valuation!$F$5:G5)-(3+1)/2))-1</f>
        <v>0.14999999999999991</v>
      </c>
      <c r="H5" s="37">
        <f>(1+'Inputs &amp; Assumptions'!$B$21)*EXP(0.01*(COLUMNS(Valuation!$F$5:H5)-(3+1)/2))-1</f>
        <v>0.16155769214679294</v>
      </c>
      <c r="I5" s="37">
        <f>(1+'Inputs &amp; Assumptions'!$B$22)*EXP(0.001*(COLUMNS(Valuation!$I$5:I5)-(5+1)/2))-1</f>
        <v>0.18762237841412621</v>
      </c>
      <c r="J5" s="37">
        <f>(1+'Inputs &amp; Assumptions'!$B$22)*EXP(0.001*(COLUMNS(Valuation!$I$5:J5)-(5+1)/2))-1</f>
        <v>0.18881059480171625</v>
      </c>
      <c r="K5" s="37">
        <f>(1+'Inputs &amp; Assumptions'!$B$22)*EXP(0.001*(COLUMNS(Valuation!$I$5:K5)-(5+1)/2))-1</f>
        <v>0.18999999999999995</v>
      </c>
      <c r="L5" s="37">
        <f>(1+'Inputs &amp; Assumptions'!$B$22)*EXP(0.001*(COLUMNS(Valuation!$I$5:L5)-(5+1)/2))-1</f>
        <v>0.191190595198383</v>
      </c>
      <c r="M5" s="37">
        <f>(1+'Inputs &amp; Assumptions'!$B$22)*EXP(0.001*(COLUMNS(Valuation!$I$5:M5)-(5+1)/2))-1</f>
        <v>0.19238238158746035</v>
      </c>
      <c r="N5" s="37">
        <f>'Inputs &amp; Assumptions'!$B$23</f>
        <v>0.17</v>
      </c>
      <c r="P5" s="1" t="s">
        <v>137</v>
      </c>
      <c r="Q5" s="7">
        <v>0.14571238348868176</v>
      </c>
      <c r="R5" s="7">
        <v>0.14004076086956521</v>
      </c>
      <c r="S5" s="7">
        <v>0.12862162162162163</v>
      </c>
      <c r="T5" s="7">
        <v>0.11288702928870292</v>
      </c>
      <c r="U5" s="7">
        <v>6.2799999999999995E-2</v>
      </c>
      <c r="V5" s="116">
        <f>$U$5+(COLUMNS($V:V))*(($Y$5-$U$5)*SUM($U$3:$X$3))/($V$3+2*$W$3+3*$X$3)</f>
        <v>6.8989356915818492E-2</v>
      </c>
      <c r="W5" s="116">
        <f>$U$5+(COLUMNS($V:W))*(($Y$5-$U$5)*SUM($U$3:$X$3))/($V$3+2*$W$3+3*$X$3)</f>
        <v>7.517871383163699E-2</v>
      </c>
      <c r="X5" s="116">
        <f>$U$5+(COLUMNS($V:X))*(($Y$5-$U$5)*SUM($U$3:$X$3))/($V$3+2*$W$3+3*$X$3)</f>
        <v>8.1368070747455473E-2</v>
      </c>
      <c r="Y5" s="37">
        <f>'Inputs &amp; Assumptions'!B19</f>
        <v>7.1999999999999995E-2</v>
      </c>
    </row>
    <row r="6" spans="2:25" x14ac:dyDescent="0.3">
      <c r="B6" s="1" t="s">
        <v>138</v>
      </c>
      <c r="C6" s="76">
        <v>389</v>
      </c>
      <c r="D6" s="78">
        <f>D3*D5</f>
        <v>219.50256239999999</v>
      </c>
      <c r="E6" s="78">
        <f t="shared" ref="E6:N6" si="2">E3*E5</f>
        <v>408.02347330300336</v>
      </c>
      <c r="F6" s="78">
        <f t="shared" si="2"/>
        <v>542.65227652661179</v>
      </c>
      <c r="G6" s="78">
        <f t="shared" si="2"/>
        <v>656.04273043785133</v>
      </c>
      <c r="H6" s="78">
        <f t="shared" si="2"/>
        <v>781.30394959029263</v>
      </c>
      <c r="I6" s="78">
        <f t="shared" si="2"/>
        <v>1000.6581592407662</v>
      </c>
      <c r="J6" s="78">
        <f t="shared" si="2"/>
        <v>1099.6132460204399</v>
      </c>
      <c r="K6" s="78">
        <f t="shared" si="2"/>
        <v>1196.4169657468117</v>
      </c>
      <c r="L6" s="78">
        <f t="shared" si="2"/>
        <v>1288.8809674276802</v>
      </c>
      <c r="M6" s="78">
        <f t="shared" si="2"/>
        <v>1374.7698144754957</v>
      </c>
      <c r="N6" s="78">
        <f t="shared" si="2"/>
        <v>1281.6400555582447</v>
      </c>
      <c r="P6" s="1" t="s">
        <v>138</v>
      </c>
      <c r="Q6" s="6">
        <v>109.43</v>
      </c>
      <c r="R6" s="6">
        <v>103.07</v>
      </c>
      <c r="S6" s="6">
        <v>95.18</v>
      </c>
      <c r="T6" s="6">
        <v>80.94</v>
      </c>
      <c r="U6" s="6">
        <v>48.53</v>
      </c>
      <c r="V6" s="32">
        <f>V3*V5</f>
        <v>52.689747454101656</v>
      </c>
      <c r="W6" s="32">
        <f t="shared" ref="W6:X6" si="3">W3*W5</f>
        <v>57.728838171680223</v>
      </c>
      <c r="X6" s="32">
        <f t="shared" si="3"/>
        <v>60.539576774218126</v>
      </c>
      <c r="Y6" s="32">
        <f>SUM(U6:X6)</f>
        <v>219.48816239999999</v>
      </c>
    </row>
    <row r="7" spans="2:25" x14ac:dyDescent="0.3">
      <c r="B7" s="1" t="s">
        <v>3</v>
      </c>
      <c r="C7" s="44">
        <v>0.26</v>
      </c>
      <c r="D7" s="43">
        <f>'Inputs &amp; Assumptions'!$B$30</f>
        <v>0.26</v>
      </c>
      <c r="E7" s="43">
        <f>'Inputs &amp; Assumptions'!$B$30</f>
        <v>0.26</v>
      </c>
      <c r="F7" s="43">
        <f>'Inputs &amp; Assumptions'!$B$30</f>
        <v>0.26</v>
      </c>
      <c r="G7" s="43">
        <f>'Inputs &amp; Assumptions'!$B$30</f>
        <v>0.26</v>
      </c>
      <c r="H7" s="43">
        <f>'Inputs &amp; Assumptions'!$B$30</f>
        <v>0.26</v>
      </c>
      <c r="I7" s="43">
        <f>'Inputs &amp; Assumptions'!$B$30</f>
        <v>0.26</v>
      </c>
      <c r="J7" s="43">
        <f>'Inputs &amp; Assumptions'!$B$30</f>
        <v>0.26</v>
      </c>
      <c r="K7" s="43">
        <f>'Inputs &amp; Assumptions'!$B$30</f>
        <v>0.26</v>
      </c>
      <c r="L7" s="43">
        <f>'Inputs &amp; Assumptions'!$B$30</f>
        <v>0.26</v>
      </c>
      <c r="M7" s="43">
        <f>'Inputs &amp; Assumptions'!$B$30</f>
        <v>0.26</v>
      </c>
      <c r="N7" s="43">
        <f>'Inputs &amp; Assumptions'!$B$30</f>
        <v>0.26</v>
      </c>
      <c r="P7" s="1" t="s">
        <v>3</v>
      </c>
      <c r="Q7" s="4" t="s">
        <v>23</v>
      </c>
      <c r="R7" s="4" t="s">
        <v>23</v>
      </c>
      <c r="S7" s="4" t="s">
        <v>23</v>
      </c>
      <c r="T7" s="4" t="s">
        <v>23</v>
      </c>
      <c r="U7" s="9">
        <v>0.26</v>
      </c>
      <c r="V7" s="43">
        <f>'Inputs &amp; Assumptions'!$B$30</f>
        <v>0.26</v>
      </c>
      <c r="W7" s="43">
        <f>'Inputs &amp; Assumptions'!$B$30</f>
        <v>0.26</v>
      </c>
      <c r="X7" s="43">
        <f>'Inputs &amp; Assumptions'!$B$30</f>
        <v>0.26</v>
      </c>
      <c r="Y7" s="43">
        <f>'Inputs &amp; Assumptions'!$B$30</f>
        <v>0.26</v>
      </c>
    </row>
    <row r="8" spans="2:25" x14ac:dyDescent="0.3">
      <c r="B8" s="1" t="s">
        <v>4</v>
      </c>
      <c r="C8" s="79">
        <f>C6*(1-C7)</f>
        <v>287.86</v>
      </c>
      <c r="D8" s="78">
        <f>D6*(1-D7)</f>
        <v>162.43189617599998</v>
      </c>
      <c r="E8" s="78">
        <f t="shared" ref="E8:N8" si="4">E6*(1-E7)</f>
        <v>301.93737024422251</v>
      </c>
      <c r="F8" s="78">
        <f t="shared" si="4"/>
        <v>401.56268462969274</v>
      </c>
      <c r="G8" s="78">
        <f t="shared" si="4"/>
        <v>485.47162052401001</v>
      </c>
      <c r="H8" s="78">
        <f t="shared" si="4"/>
        <v>578.16492269681657</v>
      </c>
      <c r="I8" s="78">
        <f t="shared" si="4"/>
        <v>740.487037838167</v>
      </c>
      <c r="J8" s="78">
        <f t="shared" si="4"/>
        <v>813.71380205512548</v>
      </c>
      <c r="K8" s="78">
        <f t="shared" si="4"/>
        <v>885.34855465264059</v>
      </c>
      <c r="L8" s="78">
        <f t="shared" si="4"/>
        <v>953.77191589648328</v>
      </c>
      <c r="M8" s="78">
        <f t="shared" si="4"/>
        <v>1017.3296627118667</v>
      </c>
      <c r="N8" s="78">
        <f t="shared" si="4"/>
        <v>948.41364111310111</v>
      </c>
      <c r="P8" s="1" t="s">
        <v>4</v>
      </c>
      <c r="Q8" s="4" t="s">
        <v>23</v>
      </c>
      <c r="R8" s="4" t="s">
        <v>23</v>
      </c>
      <c r="S8" s="4" t="s">
        <v>23</v>
      </c>
      <c r="T8" s="4" t="s">
        <v>23</v>
      </c>
      <c r="U8" s="6">
        <v>48</v>
      </c>
      <c r="V8" s="32">
        <f>V6*(1-V7)</f>
        <v>38.990413116035228</v>
      </c>
      <c r="W8" s="32">
        <f t="shared" ref="W8:Y8" si="5">W6*(1-W7)</f>
        <v>42.719340247043363</v>
      </c>
      <c r="X8" s="32">
        <f t="shared" si="5"/>
        <v>44.799286812921416</v>
      </c>
      <c r="Y8" s="32">
        <f t="shared" si="5"/>
        <v>162.421240176</v>
      </c>
    </row>
    <row r="9" spans="2:25" x14ac:dyDescent="0.3">
      <c r="B9" s="1" t="s">
        <v>5</v>
      </c>
      <c r="C9" s="80" t="s">
        <v>23</v>
      </c>
      <c r="D9" s="78">
        <f t="shared" ref="D9:M9" si="6">D35</f>
        <v>37.821964384931512</v>
      </c>
      <c r="E9" s="78">
        <f t="shared" si="6"/>
        <v>55.618222934575549</v>
      </c>
      <c r="F9" s="78">
        <f t="shared" si="6"/>
        <v>61.323632234277483</v>
      </c>
      <c r="G9" s="78">
        <f t="shared" si="6"/>
        <v>66.897681583476768</v>
      </c>
      <c r="H9" s="78">
        <f t="shared" si="6"/>
        <v>72.201522716454193</v>
      </c>
      <c r="I9" s="78">
        <f t="shared" si="6"/>
        <v>79.103757386228864</v>
      </c>
      <c r="J9" s="78">
        <f t="shared" si="6"/>
        <v>84.22176049497503</v>
      </c>
      <c r="K9" s="78">
        <f t="shared" si="6"/>
        <v>88.706061035029151</v>
      </c>
      <c r="L9" s="78">
        <f t="shared" si="6"/>
        <v>92.418150882171304</v>
      </c>
      <c r="M9" s="78">
        <f t="shared" si="6"/>
        <v>95.237267981316904</v>
      </c>
      <c r="N9" s="78">
        <f>N8*('Inputs &amp; Assumptions'!$B$27/'Inputs &amp; Assumptions'!$B$28)</f>
        <v>372.59107329443259</v>
      </c>
      <c r="P9" s="1" t="s">
        <v>5</v>
      </c>
      <c r="Q9" s="4" t="s">
        <v>23</v>
      </c>
      <c r="R9" s="4" t="s">
        <v>23</v>
      </c>
      <c r="S9" s="4" t="s">
        <v>23</v>
      </c>
      <c r="T9" s="4" t="s">
        <v>23</v>
      </c>
      <c r="U9" s="31">
        <f>$Y$9*(U3/$Y$3)</f>
        <v>9.5899529681652034</v>
      </c>
      <c r="V9" s="31">
        <f t="shared" ref="V9:X9" si="7">$Y$9*(V3/$Y$3)</f>
        <v>9.4750389433378945</v>
      </c>
      <c r="W9" s="31">
        <f t="shared" si="7"/>
        <v>9.5265337202038616</v>
      </c>
      <c r="X9" s="31">
        <f t="shared" si="7"/>
        <v>9.2304387532245524</v>
      </c>
      <c r="Y9" s="32">
        <f>D35</f>
        <v>37.821964384931512</v>
      </c>
    </row>
    <row r="10" spans="2:25" x14ac:dyDescent="0.3">
      <c r="B10" s="1" t="s">
        <v>6</v>
      </c>
      <c r="C10" s="80" t="s">
        <v>23</v>
      </c>
      <c r="D10" s="78">
        <f>D8-D9-U10-(V10*(('Inputs &amp; Assumptions'!$B$3-'Inputs &amp; Assumptions'!$C$8)/('Inputs &amp; Assumptions'!$D$8-'Inputs &amp; Assumptions'!$C$8)))</f>
        <v>62.84706123797865</v>
      </c>
      <c r="E10" s="78">
        <f t="shared" ref="E10:N10" si="8">E8-E9</f>
        <v>246.31914730964695</v>
      </c>
      <c r="F10" s="78">
        <f t="shared" si="8"/>
        <v>340.23905239541523</v>
      </c>
      <c r="G10" s="78">
        <f t="shared" si="8"/>
        <v>418.57393894053325</v>
      </c>
      <c r="H10" s="78">
        <f t="shared" si="8"/>
        <v>505.9633999803624</v>
      </c>
      <c r="I10" s="78">
        <f t="shared" si="8"/>
        <v>661.38328045193816</v>
      </c>
      <c r="J10" s="78">
        <f t="shared" si="8"/>
        <v>729.49204156015048</v>
      </c>
      <c r="K10" s="78">
        <f t="shared" si="8"/>
        <v>796.64249361761142</v>
      </c>
      <c r="L10" s="78">
        <f t="shared" si="8"/>
        <v>861.35376501431199</v>
      </c>
      <c r="M10" s="78">
        <f t="shared" si="8"/>
        <v>922.09239473054981</v>
      </c>
      <c r="N10" s="78">
        <f t="shared" si="8"/>
        <v>575.82256781866852</v>
      </c>
      <c r="P10" s="1" t="s">
        <v>6</v>
      </c>
      <c r="Q10" s="4" t="s">
        <v>23</v>
      </c>
      <c r="R10" s="4" t="s">
        <v>23</v>
      </c>
      <c r="S10" s="4" t="s">
        <v>23</v>
      </c>
      <c r="T10" s="4" t="s">
        <v>23</v>
      </c>
      <c r="U10" s="31">
        <f>U8-U9</f>
        <v>38.410047031834793</v>
      </c>
      <c r="V10" s="31">
        <f t="shared" ref="V10:Y10" si="9">V8-V9</f>
        <v>29.515374172697335</v>
      </c>
      <c r="W10" s="31">
        <f t="shared" si="9"/>
        <v>33.192806526839504</v>
      </c>
      <c r="X10" s="31">
        <f t="shared" si="9"/>
        <v>35.568848059696862</v>
      </c>
      <c r="Y10" s="32">
        <f t="shared" si="9"/>
        <v>124.59927579106849</v>
      </c>
    </row>
    <row r="11" spans="2:25" x14ac:dyDescent="0.3">
      <c r="B11" s="1" t="s">
        <v>7</v>
      </c>
      <c r="C11" s="4" t="s">
        <v>23</v>
      </c>
      <c r="D11" s="55">
        <f>'Inputs &amp; Assumptions'!$B$29</f>
        <v>0.10453927821763231</v>
      </c>
      <c r="E11" s="55">
        <f>'Inputs &amp; Assumptions'!$B$29</f>
        <v>0.10453927821763231</v>
      </c>
      <c r="F11" s="55">
        <f>'Inputs &amp; Assumptions'!$B$29</f>
        <v>0.10453927821763231</v>
      </c>
      <c r="G11" s="55">
        <f>'Inputs &amp; Assumptions'!$B$29</f>
        <v>0.10453927821763231</v>
      </c>
      <c r="H11" s="55">
        <f>'Inputs &amp; Assumptions'!$B$29</f>
        <v>0.10453927821763231</v>
      </c>
      <c r="I11" s="55">
        <f>'Inputs &amp; Assumptions'!$B$29</f>
        <v>0.10453927821763231</v>
      </c>
      <c r="J11" s="55">
        <f>'Inputs &amp; Assumptions'!$B$29</f>
        <v>0.10453927821763231</v>
      </c>
      <c r="K11" s="55">
        <f>'Inputs &amp; Assumptions'!$B$29</f>
        <v>0.10453927821763231</v>
      </c>
      <c r="L11" s="55">
        <f>'Inputs &amp; Assumptions'!$B$29</f>
        <v>0.10453927821763231</v>
      </c>
      <c r="M11" s="55">
        <f>'Inputs &amp; Assumptions'!$B$29</f>
        <v>0.10453927821763231</v>
      </c>
      <c r="N11" s="55">
        <f>'Inputs &amp; Assumptions'!$B$29</f>
        <v>0.10453927821763231</v>
      </c>
      <c r="Q11" s="27"/>
      <c r="R11" s="27"/>
      <c r="S11" s="27"/>
      <c r="T11" s="27"/>
    </row>
    <row r="12" spans="2:25" x14ac:dyDescent="0.3">
      <c r="B12" s="1" t="s">
        <v>8</v>
      </c>
      <c r="C12" s="4" t="s">
        <v>23</v>
      </c>
      <c r="D12" s="1">
        <f>1/(1+D11)^(('Inputs &amp; Assumptions'!$B$6-'Inputs &amp; Assumptions'!$B$3)/365)</f>
        <v>0.94671832487070051</v>
      </c>
      <c r="E12" s="1">
        <f>D12*(1/(1+E11))</f>
        <v>0.857116033391222</v>
      </c>
      <c r="F12" s="1">
        <f t="shared" ref="F12:M12" si="10">E12*(1/(1+F11))</f>
        <v>0.77599416362479101</v>
      </c>
      <c r="G12" s="1">
        <f t="shared" si="10"/>
        <v>0.70255008484351367</v>
      </c>
      <c r="H12" s="1">
        <f t="shared" si="10"/>
        <v>0.63605713141971854</v>
      </c>
      <c r="I12" s="1">
        <f t="shared" si="10"/>
        <v>0.57585741309816352</v>
      </c>
      <c r="J12" s="1">
        <f t="shared" si="10"/>
        <v>0.52135530574106004</v>
      </c>
      <c r="K12" s="1">
        <f t="shared" si="10"/>
        <v>0.47201155814246654</v>
      </c>
      <c r="L12" s="1">
        <f t="shared" si="10"/>
        <v>0.42733795660407825</v>
      </c>
      <c r="M12" s="1">
        <f t="shared" si="10"/>
        <v>0.3868924944830055</v>
      </c>
      <c r="N12" s="48"/>
      <c r="V12" s="117"/>
    </row>
    <row r="13" spans="2:25" x14ac:dyDescent="0.3">
      <c r="B13" s="1" t="s">
        <v>9</v>
      </c>
      <c r="C13" s="4" t="s">
        <v>23</v>
      </c>
      <c r="D13" s="78">
        <f>D10*D12</f>
        <v>59.49846453826548</v>
      </c>
      <c r="E13" s="78">
        <f t="shared" ref="E13:M13" si="11">E10*E12</f>
        <v>211.1240904903527</v>
      </c>
      <c r="F13" s="78">
        <f t="shared" si="11"/>
        <v>264.02351889607166</v>
      </c>
      <c r="G13" s="78">
        <f t="shared" si="11"/>
        <v>294.06915631595535</v>
      </c>
      <c r="H13" s="78">
        <f t="shared" si="11"/>
        <v>321.82162879487697</v>
      </c>
      <c r="I13" s="78">
        <f t="shared" si="11"/>
        <v>380.86246494743028</v>
      </c>
      <c r="J13" s="78">
        <f t="shared" si="11"/>
        <v>380.32454636326236</v>
      </c>
      <c r="K13" s="78">
        <f t="shared" si="11"/>
        <v>376.02446469494873</v>
      </c>
      <c r="L13" s="78">
        <f t="shared" si="11"/>
        <v>368.08915785444549</v>
      </c>
      <c r="M13" s="78">
        <f t="shared" si="11"/>
        <v>356.75062674111058</v>
      </c>
      <c r="N13" s="78"/>
      <c r="X13" s="38"/>
      <c r="Y13" s="27"/>
    </row>
    <row r="15" spans="2:25" x14ac:dyDescent="0.3">
      <c r="B15" s="1" t="s">
        <v>93</v>
      </c>
      <c r="C15" s="78">
        <f>N10</f>
        <v>575.82256781866852</v>
      </c>
    </row>
    <row r="16" spans="2:25" x14ac:dyDescent="0.3">
      <c r="B16" s="1" t="s">
        <v>94</v>
      </c>
      <c r="C16" s="52">
        <f>N11</f>
        <v>0.10453927821763231</v>
      </c>
      <c r="E16" s="131" t="s">
        <v>106</v>
      </c>
      <c r="F16" s="131"/>
      <c r="G16" s="131"/>
      <c r="H16" s="131"/>
      <c r="I16" s="131"/>
      <c r="J16" s="131"/>
      <c r="K16" s="131"/>
      <c r="L16" s="131"/>
      <c r="M16" s="131"/>
    </row>
    <row r="17" spans="2:13" x14ac:dyDescent="0.3">
      <c r="B17" s="1" t="s">
        <v>95</v>
      </c>
      <c r="C17" s="78">
        <f>C15/(C16-N4)</f>
        <v>11623.555863874462</v>
      </c>
      <c r="E17" s="67"/>
      <c r="F17" s="60"/>
      <c r="G17" s="60"/>
      <c r="H17" s="60"/>
      <c r="I17" s="60"/>
      <c r="J17" s="60"/>
      <c r="K17" s="60"/>
      <c r="L17" s="60"/>
      <c r="M17" s="66"/>
    </row>
    <row r="18" spans="2:13" ht="15" thickBot="1" x14ac:dyDescent="0.35">
      <c r="B18" s="1" t="s">
        <v>96</v>
      </c>
      <c r="C18" s="78">
        <f>C17*M12</f>
        <v>4497.066522936957</v>
      </c>
      <c r="E18" s="134" t="s">
        <v>107</v>
      </c>
      <c r="F18" s="135"/>
      <c r="G18" s="135"/>
      <c r="H18" s="135"/>
      <c r="I18" s="135"/>
      <c r="J18" s="135"/>
      <c r="K18" s="135"/>
      <c r="L18" s="135"/>
      <c r="M18" s="136"/>
    </row>
    <row r="19" spans="2:13" x14ac:dyDescent="0.3">
      <c r="B19" s="1" t="s">
        <v>97</v>
      </c>
      <c r="C19" s="78">
        <f>SUM(D13:M13)</f>
        <v>3012.5881196367195</v>
      </c>
      <c r="E19" s="67"/>
      <c r="M19" s="66"/>
    </row>
    <row r="20" spans="2:13" ht="15" thickBot="1" x14ac:dyDescent="0.35">
      <c r="B20" s="1" t="s">
        <v>104</v>
      </c>
      <c r="C20" s="78">
        <f>C18+C19</f>
        <v>7509.654642573676</v>
      </c>
      <c r="E20" s="67"/>
      <c r="F20" s="60"/>
      <c r="G20" s="61"/>
      <c r="H20" s="62" t="s">
        <v>35</v>
      </c>
      <c r="I20" s="63"/>
      <c r="J20" s="63"/>
      <c r="K20" s="63"/>
      <c r="L20" s="63"/>
      <c r="M20" s="66"/>
    </row>
    <row r="21" spans="2:13" x14ac:dyDescent="0.3">
      <c r="B21" s="59" t="s">
        <v>98</v>
      </c>
      <c r="C21" s="77">
        <f>'Cost of Capital'!B22</f>
        <v>51.58</v>
      </c>
      <c r="E21" s="67"/>
      <c r="F21" s="60" t="s">
        <v>78</v>
      </c>
      <c r="G21" s="71">
        <f>C25</f>
        <v>225.3288301354487</v>
      </c>
      <c r="H21" s="65">
        <f>I21-0.5%</f>
        <v>4.5000000000000005E-2</v>
      </c>
      <c r="I21" s="65">
        <f>J21-0.5%</f>
        <v>0.05</v>
      </c>
      <c r="J21" s="112">
        <f>'Inputs &amp; Assumptions'!B27</f>
        <v>5.5E-2</v>
      </c>
      <c r="K21" s="65">
        <f>J21+0.5%</f>
        <v>0.06</v>
      </c>
      <c r="L21" s="65">
        <f>K21+0.5%</f>
        <v>6.5000000000000002E-2</v>
      </c>
      <c r="M21" s="66"/>
    </row>
    <row r="22" spans="2:13" ht="15" thickBot="1" x14ac:dyDescent="0.35">
      <c r="B22" s="59" t="s">
        <v>99</v>
      </c>
      <c r="C22" s="78">
        <f>'Inputs &amp; Assumptions'!B12</f>
        <v>816</v>
      </c>
      <c r="E22" s="67"/>
      <c r="F22" s="64"/>
      <c r="G22" s="65">
        <f>G23-0.5%</f>
        <v>9.4539278217632305E-2</v>
      </c>
      <c r="H22" s="72">
        <f t="dataTable" ref="H22:L26" dt2D="1" dtr="1" r1="N4" r2="D11"/>
        <v>204.71219577060967</v>
      </c>
      <c r="I22" s="73">
        <v>214.54182584661277</v>
      </c>
      <c r="J22" s="73">
        <v>226.35566530750438</v>
      </c>
      <c r="K22" s="73">
        <v>240.82195894674297</v>
      </c>
      <c r="L22" s="73">
        <v>258.94696723413801</v>
      </c>
      <c r="M22" s="66"/>
    </row>
    <row r="23" spans="2:13" x14ac:dyDescent="0.3">
      <c r="B23" s="1" t="s">
        <v>100</v>
      </c>
      <c r="C23" s="78">
        <f>C20-C21+C22</f>
        <v>8274.0746425736761</v>
      </c>
      <c r="E23" s="67"/>
      <c r="F23" s="66"/>
      <c r="G23" s="65">
        <f>G24-0.5%</f>
        <v>9.953927821763231E-2</v>
      </c>
      <c r="H23" s="74">
        <v>204.25122224232427</v>
      </c>
      <c r="I23" s="122">
        <v>214.05621212858</v>
      </c>
      <c r="J23" s="123">
        <v>225.84043753037579</v>
      </c>
      <c r="K23" s="124">
        <v>240.27046813454027</v>
      </c>
      <c r="L23" s="71">
        <v>258.35004199155287</v>
      </c>
      <c r="M23" s="66"/>
    </row>
    <row r="24" spans="2:13" x14ac:dyDescent="0.3">
      <c r="B24" s="1" t="s">
        <v>101</v>
      </c>
      <c r="C24" s="78">
        <f>'Inputs &amp; Assumptions'!B10</f>
        <v>36.72</v>
      </c>
      <c r="E24" s="67"/>
      <c r="F24" s="64" t="s">
        <v>105</v>
      </c>
      <c r="G24" s="112">
        <f>'Cost of Capital'!D34</f>
        <v>0.10453927821763231</v>
      </c>
      <c r="H24" s="74">
        <v>203.79348786462671</v>
      </c>
      <c r="I24" s="125">
        <v>213.57401070184756</v>
      </c>
      <c r="J24" s="121">
        <v>225.3288301354487</v>
      </c>
      <c r="K24" s="126">
        <v>239.72285251620218</v>
      </c>
      <c r="L24" s="71">
        <v>257.75731119969385</v>
      </c>
      <c r="M24" s="66"/>
    </row>
    <row r="25" spans="2:13" ht="15" thickBot="1" x14ac:dyDescent="0.35">
      <c r="B25" s="10" t="s">
        <v>102</v>
      </c>
      <c r="C25" s="87">
        <f>C23/C24</f>
        <v>225.3288301354487</v>
      </c>
      <c r="E25" s="67"/>
      <c r="F25" s="66"/>
      <c r="G25" s="65">
        <f>G24+0.5%</f>
        <v>0.10953927821763232</v>
      </c>
      <c r="H25" s="74">
        <v>203.33895536777746</v>
      </c>
      <c r="I25" s="127">
        <v>213.09518230451499</v>
      </c>
      <c r="J25" s="128">
        <v>224.82080146652407</v>
      </c>
      <c r="K25" s="129">
        <v>239.17906750366089</v>
      </c>
      <c r="L25" s="71">
        <v>257.16872659711646</v>
      </c>
      <c r="M25" s="66"/>
    </row>
    <row r="26" spans="2:13" x14ac:dyDescent="0.3">
      <c r="B26" s="1" t="s">
        <v>103</v>
      </c>
      <c r="C26" s="81">
        <f>'Inputs &amp; Assumptions'!B9</f>
        <v>195</v>
      </c>
      <c r="E26" s="67"/>
      <c r="F26" s="66"/>
      <c r="G26" s="65">
        <f>G25+0.5%</f>
        <v>0.11453927821763232</v>
      </c>
      <c r="H26" s="74">
        <v>202.88758807630521</v>
      </c>
      <c r="I26" s="71">
        <v>212.61968830071498</v>
      </c>
      <c r="J26" s="71">
        <v>224.31631053161334</v>
      </c>
      <c r="K26" s="71">
        <v>238.63906921980791</v>
      </c>
      <c r="L26" s="71">
        <v>256.58424069190795</v>
      </c>
      <c r="M26" s="66"/>
    </row>
    <row r="27" spans="2:13" x14ac:dyDescent="0.3">
      <c r="B27" s="1" t="s">
        <v>135</v>
      </c>
      <c r="C27" s="50">
        <f>C25/C26-1</f>
        <v>0.15553246223307027</v>
      </c>
      <c r="E27" s="68"/>
      <c r="F27" s="69"/>
      <c r="G27" s="69"/>
      <c r="H27" s="69"/>
      <c r="I27" s="69"/>
      <c r="J27" s="69"/>
      <c r="K27" s="69"/>
      <c r="L27" s="69"/>
      <c r="M27" s="70"/>
    </row>
    <row r="29" spans="2:13" x14ac:dyDescent="0.3">
      <c r="B29" s="2" t="s">
        <v>0</v>
      </c>
      <c r="C29" s="39">
        <v>2026</v>
      </c>
      <c r="D29" s="5">
        <v>2027</v>
      </c>
      <c r="E29" s="5">
        <f>D29+1</f>
        <v>2028</v>
      </c>
      <c r="F29" s="5">
        <f>E29+1</f>
        <v>2029</v>
      </c>
      <c r="G29" s="5">
        <f t="shared" ref="G29:L29" si="12">F29+1</f>
        <v>2030</v>
      </c>
      <c r="H29" s="5">
        <f t="shared" si="12"/>
        <v>2031</v>
      </c>
      <c r="I29" s="5">
        <f t="shared" si="12"/>
        <v>2032</v>
      </c>
      <c r="J29" s="5">
        <f t="shared" si="12"/>
        <v>2033</v>
      </c>
      <c r="K29" s="5">
        <f t="shared" si="12"/>
        <v>2034</v>
      </c>
      <c r="L29" s="5">
        <f t="shared" si="12"/>
        <v>2035</v>
      </c>
      <c r="M29" s="5">
        <f>L29+1</f>
        <v>2036</v>
      </c>
    </row>
    <row r="30" spans="2:13" x14ac:dyDescent="0.3">
      <c r="B30" s="1" t="s">
        <v>31</v>
      </c>
      <c r="C30" s="76">
        <v>67</v>
      </c>
      <c r="D30" s="78">
        <f>D3*'Inputs &amp; Assumptions'!$B$24</f>
        <v>67.070227400000007</v>
      </c>
      <c r="E30" s="78">
        <f>E3*'Inputs &amp; Assumptions'!$B$24</f>
        <v>76.395884363115513</v>
      </c>
      <c r="F30" s="78">
        <f>F3*'Inputs &amp; Assumptions'!$B$24</f>
        <v>86.161821314119436</v>
      </c>
      <c r="G30" s="78">
        <f>G3*'Inputs &amp; Assumptions'!$B$24</f>
        <v>96.219600464218246</v>
      </c>
      <c r="H30" s="78">
        <f>H3*'Inputs &amp; Assumptions'!$B$24</f>
        <v>106.39349115836976</v>
      </c>
      <c r="I30" s="78">
        <f>I3*'Inputs &amp; Assumptions'!$B$24</f>
        <v>117.33397523991397</v>
      </c>
      <c r="J30" s="78">
        <f>J3*'Inputs &amp; Assumptions'!$B$24</f>
        <v>128.12570945955082</v>
      </c>
      <c r="K30" s="78">
        <f>K3*'Inputs &amp; Assumptions'!$B$24</f>
        <v>138.53249077068349</v>
      </c>
      <c r="L30" s="78">
        <f>L3*'Inputs &amp; Assumptions'!$B$24</f>
        <v>148.30949845617081</v>
      </c>
      <c r="M30" s="78">
        <f>M3*'Inputs &amp; Assumptions'!$B$24</f>
        <v>157.21260787444317</v>
      </c>
    </row>
    <row r="31" spans="2:13" x14ac:dyDescent="0.3">
      <c r="B31" s="1" t="s">
        <v>141</v>
      </c>
      <c r="C31" s="76">
        <v>33</v>
      </c>
      <c r="D31" s="78">
        <f>D3*'Inputs &amp; Assumptions'!$B$25</f>
        <v>33.535113700000004</v>
      </c>
      <c r="E31" s="78">
        <f>E3*'Inputs &amp; Assumptions'!$B$25</f>
        <v>38.197942181557757</v>
      </c>
      <c r="F31" s="78">
        <f>F3*'Inputs &amp; Assumptions'!$B$25</f>
        <v>43.080910657059718</v>
      </c>
      <c r="G31" s="78">
        <f>G3*'Inputs &amp; Assumptions'!$B$25</f>
        <v>48.109800232109123</v>
      </c>
      <c r="H31" s="78">
        <f>H3*'Inputs &amp; Assumptions'!$B$25</f>
        <v>53.196745579184878</v>
      </c>
      <c r="I31" s="78">
        <f>I3*'Inputs &amp; Assumptions'!$B$25</f>
        <v>58.666987619956984</v>
      </c>
      <c r="J31" s="78">
        <f>J3*'Inputs &amp; Assumptions'!$B$25</f>
        <v>64.06285472977541</v>
      </c>
      <c r="K31" s="78">
        <f>K3*'Inputs &amp; Assumptions'!$B$25</f>
        <v>69.266245385341747</v>
      </c>
      <c r="L31" s="78">
        <f>L3*'Inputs &amp; Assumptions'!$B$25</f>
        <v>74.154749228085407</v>
      </c>
      <c r="M31" s="78">
        <f>M3*'Inputs &amp; Assumptions'!$B$25</f>
        <v>78.606303937221583</v>
      </c>
    </row>
    <row r="32" spans="2:13" ht="15" thickBot="1" x14ac:dyDescent="0.35">
      <c r="B32" s="10" t="s">
        <v>32</v>
      </c>
      <c r="C32" s="82">
        <f>C30-C31</f>
        <v>34</v>
      </c>
      <c r="D32" s="83">
        <f>D30-D31</f>
        <v>33.535113700000004</v>
      </c>
      <c r="E32" s="83">
        <f t="shared" ref="E32:M32" si="13">E30-E31</f>
        <v>38.197942181557757</v>
      </c>
      <c r="F32" s="83">
        <f t="shared" si="13"/>
        <v>43.080910657059718</v>
      </c>
      <c r="G32" s="83">
        <f t="shared" si="13"/>
        <v>48.109800232109123</v>
      </c>
      <c r="H32" s="83">
        <f t="shared" si="13"/>
        <v>53.196745579184878</v>
      </c>
      <c r="I32" s="83">
        <f t="shared" si="13"/>
        <v>58.666987619956984</v>
      </c>
      <c r="J32" s="83">
        <f t="shared" si="13"/>
        <v>64.06285472977541</v>
      </c>
      <c r="K32" s="83">
        <f t="shared" si="13"/>
        <v>69.266245385341747</v>
      </c>
      <c r="L32" s="83">
        <f t="shared" si="13"/>
        <v>74.154749228085407</v>
      </c>
      <c r="M32" s="83">
        <f t="shared" si="13"/>
        <v>78.606303937221583</v>
      </c>
    </row>
    <row r="33" spans="2:13" ht="15" thickTop="1" x14ac:dyDescent="0.3">
      <c r="B33" s="11" t="s">
        <v>33</v>
      </c>
      <c r="C33" s="84">
        <v>121</v>
      </c>
      <c r="D33" s="85">
        <f>D3*('Inputs &amp; Assumptions'!$B$26/365)</f>
        <v>125.28685068493151</v>
      </c>
      <c r="E33" s="85">
        <f>E3*('Inputs &amp; Assumptions'!$B$26/365)</f>
        <v>142.7071314379493</v>
      </c>
      <c r="F33" s="85">
        <f>F3*('Inputs &amp; Assumptions'!$B$26/365)</f>
        <v>160.94985301516706</v>
      </c>
      <c r="G33" s="85">
        <f>G3*('Inputs &amp; Assumptions'!$B$26/365)</f>
        <v>179.73773436653471</v>
      </c>
      <c r="H33" s="85">
        <f>H3*('Inputs &amp; Assumptions'!$B$26/365)</f>
        <v>198.74251150380402</v>
      </c>
      <c r="I33" s="85">
        <f>I3*('Inputs &amp; Assumptions'!$B$26/365)</f>
        <v>219.1792812700759</v>
      </c>
      <c r="J33" s="85">
        <f>J3*('Inputs &amp; Assumptions'!$B$26/365)</f>
        <v>239.33818703527552</v>
      </c>
      <c r="K33" s="85">
        <f>K3*('Inputs &amp; Assumptions'!$B$26/365)</f>
        <v>258.77800268496293</v>
      </c>
      <c r="L33" s="85">
        <f>L3*('Inputs &amp; Assumptions'!$B$26/365)</f>
        <v>277.04140433904882</v>
      </c>
      <c r="M33" s="85">
        <f>M3*('Inputs &amp; Assumptions'!$B$26/365)</f>
        <v>293.67236838314415</v>
      </c>
    </row>
    <row r="34" spans="2:13" x14ac:dyDescent="0.3">
      <c r="B34" s="1" t="s">
        <v>34</v>
      </c>
      <c r="C34" s="80" t="s">
        <v>23</v>
      </c>
      <c r="D34" s="78">
        <f>D33-C33</f>
        <v>4.2868506849315082</v>
      </c>
      <c r="E34" s="78">
        <f>E33-D33</f>
        <v>17.420280753017792</v>
      </c>
      <c r="F34" s="78">
        <f>F33-E33</f>
        <v>18.242721577217765</v>
      </c>
      <c r="G34" s="78">
        <f t="shared" ref="G34:L34" si="14">G33-F33</f>
        <v>18.787881351367645</v>
      </c>
      <c r="H34" s="78">
        <f t="shared" si="14"/>
        <v>19.004777137269315</v>
      </c>
      <c r="I34" s="78">
        <f t="shared" si="14"/>
        <v>20.43676976627188</v>
      </c>
      <c r="J34" s="78">
        <f t="shared" si="14"/>
        <v>20.15890576519962</v>
      </c>
      <c r="K34" s="78">
        <f t="shared" si="14"/>
        <v>19.439815649687404</v>
      </c>
      <c r="L34" s="78">
        <f t="shared" si="14"/>
        <v>18.263401654085897</v>
      </c>
      <c r="M34" s="78">
        <f>M33-L33</f>
        <v>16.630964044095322</v>
      </c>
    </row>
    <row r="35" spans="2:13" ht="15" thickBot="1" x14ac:dyDescent="0.35">
      <c r="B35" s="10" t="s">
        <v>5</v>
      </c>
      <c r="C35" s="86" t="s">
        <v>23</v>
      </c>
      <c r="D35" s="83">
        <f>D32+D34</f>
        <v>37.821964384931512</v>
      </c>
      <c r="E35" s="83">
        <f t="shared" ref="E35:M35" si="15">E32+E34</f>
        <v>55.618222934575549</v>
      </c>
      <c r="F35" s="83">
        <f t="shared" si="15"/>
        <v>61.323632234277483</v>
      </c>
      <c r="G35" s="83">
        <f t="shared" si="15"/>
        <v>66.897681583476768</v>
      </c>
      <c r="H35" s="83">
        <f t="shared" si="15"/>
        <v>72.201522716454193</v>
      </c>
      <c r="I35" s="83">
        <f t="shared" si="15"/>
        <v>79.103757386228864</v>
      </c>
      <c r="J35" s="83">
        <f t="shared" si="15"/>
        <v>84.22176049497503</v>
      </c>
      <c r="K35" s="83">
        <f t="shared" si="15"/>
        <v>88.706061035029151</v>
      </c>
      <c r="L35" s="83">
        <f t="shared" si="15"/>
        <v>92.418150882171304</v>
      </c>
      <c r="M35" s="83">
        <f t="shared" si="15"/>
        <v>95.237267981316904</v>
      </c>
    </row>
    <row r="36" spans="2:13" ht="15" thickTop="1" x14ac:dyDescent="0.3"/>
  </sheetData>
  <mergeCells count="2">
    <mergeCell ref="E16:M16"/>
    <mergeCell ref="E18:M18"/>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53"/>
  <sheetViews>
    <sheetView showGridLines="0" zoomScale="115" zoomScaleNormal="115" workbookViewId="0">
      <selection activeCell="G49" sqref="G49"/>
    </sheetView>
  </sheetViews>
  <sheetFormatPr defaultRowHeight="14.4" x14ac:dyDescent="0.3"/>
  <cols>
    <col min="1" max="1" width="3" customWidth="1"/>
    <col min="2" max="2" width="27.88671875" bestFit="1" customWidth="1"/>
    <col min="3" max="3" width="9.77734375" bestFit="1" customWidth="1"/>
    <col min="6" max="6" width="8.88671875" customWidth="1"/>
    <col min="13" max="13" width="12.44140625" bestFit="1" customWidth="1"/>
    <col min="15" max="15" width="32.88671875" bestFit="1" customWidth="1"/>
    <col min="16" max="16" width="17.109375" bestFit="1" customWidth="1"/>
  </cols>
  <sheetData>
    <row r="2" spans="2:22" x14ac:dyDescent="0.3">
      <c r="B2" s="1" t="s">
        <v>108</v>
      </c>
      <c r="C2" s="90">
        <f>'Inputs &amp; Assumptions'!B9</f>
        <v>195</v>
      </c>
    </row>
    <row r="3" spans="2:22" x14ac:dyDescent="0.3">
      <c r="B3" s="1" t="s">
        <v>101</v>
      </c>
      <c r="C3" s="89">
        <f>'Inputs &amp; Assumptions'!B10</f>
        <v>36.72</v>
      </c>
    </row>
    <row r="4" spans="2:22" x14ac:dyDescent="0.3">
      <c r="B4" s="1" t="s">
        <v>109</v>
      </c>
      <c r="C4" s="88">
        <f>'Inputs &amp; Assumptions'!B11</f>
        <v>7160.4</v>
      </c>
    </row>
    <row r="5" spans="2:22" x14ac:dyDescent="0.3">
      <c r="B5" s="1" t="s">
        <v>83</v>
      </c>
      <c r="C5" s="88">
        <f>'Cost of Capital'!B22</f>
        <v>51.58</v>
      </c>
    </row>
    <row r="6" spans="2:22" x14ac:dyDescent="0.3">
      <c r="B6" s="1" t="s">
        <v>110</v>
      </c>
      <c r="C6" s="88">
        <f>'Inputs &amp; Assumptions'!B12</f>
        <v>816</v>
      </c>
    </row>
    <row r="7" spans="2:22" ht="15" thickBot="1" x14ac:dyDescent="0.35">
      <c r="B7" s="10" t="s">
        <v>118</v>
      </c>
      <c r="C7" s="83">
        <f>C4+C5-C6</f>
        <v>6395.98</v>
      </c>
    </row>
    <row r="8" spans="2:22" ht="15" thickTop="1" x14ac:dyDescent="0.3">
      <c r="B8" s="100"/>
      <c r="C8" s="101"/>
    </row>
    <row r="9" spans="2:22" x14ac:dyDescent="0.3">
      <c r="B9" s="102"/>
      <c r="C9" s="103"/>
    </row>
    <row r="10" spans="2:22" x14ac:dyDescent="0.3">
      <c r="B10" s="106" t="s">
        <v>111</v>
      </c>
      <c r="C10" s="105"/>
      <c r="O10" s="137" t="s">
        <v>139</v>
      </c>
      <c r="P10" s="137"/>
      <c r="Q10" s="137"/>
      <c r="R10" s="137"/>
      <c r="S10" s="137"/>
      <c r="T10" s="137"/>
      <c r="U10" s="137"/>
      <c r="V10" s="137"/>
    </row>
    <row r="11" spans="2:22" x14ac:dyDescent="0.3">
      <c r="B11" s="104"/>
      <c r="C11" s="105"/>
      <c r="O11" s="137"/>
      <c r="P11" s="137"/>
      <c r="Q11" s="137"/>
      <c r="R11" s="137"/>
      <c r="S11" s="137"/>
      <c r="T11" s="137"/>
      <c r="U11" s="137"/>
      <c r="V11" s="137"/>
    </row>
    <row r="12" spans="2:22" x14ac:dyDescent="0.3">
      <c r="B12" s="2" t="s">
        <v>0</v>
      </c>
      <c r="C12" s="58">
        <f>Valuation!D2</f>
        <v>2027</v>
      </c>
      <c r="D12" s="58">
        <f t="shared" ref="D12:L12" si="0">C12+1</f>
        <v>2028</v>
      </c>
      <c r="E12" s="58">
        <f t="shared" si="0"/>
        <v>2029</v>
      </c>
      <c r="F12" s="58">
        <f t="shared" si="0"/>
        <v>2030</v>
      </c>
      <c r="G12" s="58">
        <f t="shared" si="0"/>
        <v>2031</v>
      </c>
      <c r="H12" s="58">
        <f t="shared" si="0"/>
        <v>2032</v>
      </c>
      <c r="I12" s="58">
        <f t="shared" si="0"/>
        <v>2033</v>
      </c>
      <c r="J12" s="58">
        <f t="shared" si="0"/>
        <v>2034</v>
      </c>
      <c r="K12" s="58">
        <f t="shared" si="0"/>
        <v>2035</v>
      </c>
      <c r="L12" s="58">
        <f t="shared" si="0"/>
        <v>2036</v>
      </c>
      <c r="M12" s="58" t="s">
        <v>28</v>
      </c>
    </row>
    <row r="13" spans="2:22" x14ac:dyDescent="0.3">
      <c r="B13" s="1" t="s">
        <v>1</v>
      </c>
      <c r="C13" s="77">
        <f>Valuation!D3</f>
        <v>3048.6467000000002</v>
      </c>
      <c r="D13" s="81">
        <f t="shared" ref="D13:L13" si="1">C13*(1+$P$20)</f>
        <v>3289.0629787620001</v>
      </c>
      <c r="E13" s="81">
        <f t="shared" si="1"/>
        <v>3548.438485267171</v>
      </c>
      <c r="F13" s="81">
        <f t="shared" si="1"/>
        <v>3828.2683442153398</v>
      </c>
      <c r="G13" s="81">
        <f t="shared" si="1"/>
        <v>4130.1655858401609</v>
      </c>
      <c r="H13" s="81">
        <f t="shared" si="1"/>
        <v>4455.870443939516</v>
      </c>
      <c r="I13" s="81">
        <f t="shared" si="1"/>
        <v>4807.2603871485862</v>
      </c>
      <c r="J13" s="81">
        <f t="shared" si="1"/>
        <v>5186.3609412791238</v>
      </c>
      <c r="K13" s="81">
        <f t="shared" si="1"/>
        <v>5595.3573651083952</v>
      </c>
      <c r="L13" s="81">
        <f t="shared" si="1"/>
        <v>6036.607246920843</v>
      </c>
      <c r="M13" s="78">
        <f>L13*(1+M14)</f>
        <v>6368.620645501489</v>
      </c>
      <c r="O13" s="57" t="s">
        <v>112</v>
      </c>
      <c r="P13" s="57" t="s">
        <v>78</v>
      </c>
    </row>
    <row r="14" spans="2:22" x14ac:dyDescent="0.3">
      <c r="B14" s="1" t="s">
        <v>2</v>
      </c>
      <c r="C14" s="37">
        <f>Valuation!D4</f>
        <v>3.5545754076087066E-2</v>
      </c>
      <c r="D14" s="118">
        <f>D13/C13-1</f>
        <v>7.885999999999993E-2</v>
      </c>
      <c r="E14" s="118">
        <f t="shared" ref="E14:L14" si="2">E13/D13-1</f>
        <v>7.885999999999993E-2</v>
      </c>
      <c r="F14" s="118">
        <f t="shared" si="2"/>
        <v>7.885999999999993E-2</v>
      </c>
      <c r="G14" s="118">
        <f t="shared" si="2"/>
        <v>7.885999999999993E-2</v>
      </c>
      <c r="H14" s="118">
        <f t="shared" si="2"/>
        <v>7.885999999999993E-2</v>
      </c>
      <c r="I14" s="118">
        <f t="shared" si="2"/>
        <v>7.885999999999993E-2</v>
      </c>
      <c r="J14" s="118">
        <f t="shared" si="2"/>
        <v>7.885999999999993E-2</v>
      </c>
      <c r="K14" s="118">
        <f t="shared" si="2"/>
        <v>7.885999999999993E-2</v>
      </c>
      <c r="L14" s="118">
        <f t="shared" si="2"/>
        <v>7.885999999999993E-2</v>
      </c>
      <c r="M14" s="37">
        <f>Valuation!N4</f>
        <v>5.5E-2</v>
      </c>
      <c r="O14" s="1" t="s">
        <v>113</v>
      </c>
      <c r="P14" s="1" t="s">
        <v>114</v>
      </c>
    </row>
    <row r="15" spans="2:22" x14ac:dyDescent="0.3">
      <c r="B15" s="1" t="s">
        <v>137</v>
      </c>
      <c r="C15" s="37">
        <f>Valuation!D5</f>
        <v>7.1999999999999995E-2</v>
      </c>
      <c r="D15" s="37">
        <f>Valuation!E5</f>
        <v>0.11749999999999999</v>
      </c>
      <c r="E15" s="37">
        <f>Valuation!F5</f>
        <v>0.13855730881154327</v>
      </c>
      <c r="F15" s="37">
        <f>Valuation!G5</f>
        <v>0.14999999999999991</v>
      </c>
      <c r="G15" s="37">
        <f>Valuation!H5</f>
        <v>0.16155769214679294</v>
      </c>
      <c r="H15" s="37">
        <f>Valuation!I5</f>
        <v>0.18762237841412621</v>
      </c>
      <c r="I15" s="37">
        <f>Valuation!J5</f>
        <v>0.18881059480171625</v>
      </c>
      <c r="J15" s="37">
        <f>Valuation!K5</f>
        <v>0.18999999999999995</v>
      </c>
      <c r="K15" s="37">
        <f>Valuation!L5</f>
        <v>0.191190595198383</v>
      </c>
      <c r="L15" s="37">
        <f>Valuation!M5</f>
        <v>0.19238238158746035</v>
      </c>
      <c r="M15" s="37">
        <f>Valuation!N5</f>
        <v>0.17</v>
      </c>
      <c r="O15" s="1" t="s">
        <v>115</v>
      </c>
      <c r="P15" s="1" t="s">
        <v>114</v>
      </c>
    </row>
    <row r="16" spans="2:22" x14ac:dyDescent="0.3">
      <c r="B16" s="1" t="s">
        <v>138</v>
      </c>
      <c r="C16" s="78">
        <f>C13*C15</f>
        <v>219.50256239999999</v>
      </c>
      <c r="D16" s="78">
        <f t="shared" ref="D16:M16" si="3">D13*D15</f>
        <v>386.46490000453497</v>
      </c>
      <c r="E16" s="78">
        <f t="shared" si="3"/>
        <v>491.66208700192823</v>
      </c>
      <c r="F16" s="78">
        <f t="shared" si="3"/>
        <v>574.24025163230067</v>
      </c>
      <c r="G16" s="78">
        <f t="shared" si="3"/>
        <v>667.26002023244348</v>
      </c>
      <c r="H16" s="78">
        <f t="shared" si="3"/>
        <v>836.02101059714039</v>
      </c>
      <c r="I16" s="78">
        <f t="shared" si="3"/>
        <v>907.66169306425331</v>
      </c>
      <c r="J16" s="78">
        <f t="shared" si="3"/>
        <v>985.4085788430333</v>
      </c>
      <c r="K16" s="78">
        <f t="shared" si="3"/>
        <v>1069.77970498273</v>
      </c>
      <c r="L16" s="78">
        <f t="shared" si="3"/>
        <v>1161.3368788707542</v>
      </c>
      <c r="M16" s="78">
        <f t="shared" si="3"/>
        <v>1082.6655097352532</v>
      </c>
      <c r="O16" s="1" t="s">
        <v>56</v>
      </c>
      <c r="P16" s="1" t="s">
        <v>114</v>
      </c>
    </row>
    <row r="17" spans="2:16" x14ac:dyDescent="0.3">
      <c r="B17" s="1" t="s">
        <v>3</v>
      </c>
      <c r="C17" s="43">
        <f>Valuation!D7</f>
        <v>0.26</v>
      </c>
      <c r="D17" s="43">
        <f>Valuation!E7</f>
        <v>0.26</v>
      </c>
      <c r="E17" s="43">
        <f>Valuation!F7</f>
        <v>0.26</v>
      </c>
      <c r="F17" s="43">
        <f>Valuation!G7</f>
        <v>0.26</v>
      </c>
      <c r="G17" s="43">
        <f>Valuation!H7</f>
        <v>0.26</v>
      </c>
      <c r="H17" s="43">
        <f>Valuation!I7</f>
        <v>0.26</v>
      </c>
      <c r="I17" s="43">
        <f>Valuation!J7</f>
        <v>0.26</v>
      </c>
      <c r="J17" s="43">
        <f>Valuation!K7</f>
        <v>0.26</v>
      </c>
      <c r="K17" s="43">
        <f>Valuation!L7</f>
        <v>0.26</v>
      </c>
      <c r="L17" s="43">
        <f>Valuation!M7</f>
        <v>0.26</v>
      </c>
      <c r="M17" s="43">
        <f>Valuation!N7</f>
        <v>0.26</v>
      </c>
      <c r="O17" s="1" t="s">
        <v>116</v>
      </c>
      <c r="P17" s="1" t="s">
        <v>117</v>
      </c>
    </row>
    <row r="18" spans="2:16" x14ac:dyDescent="0.3">
      <c r="B18" s="1" t="s">
        <v>4</v>
      </c>
      <c r="C18" s="78">
        <f>C16*(1-C17)</f>
        <v>162.43189617599998</v>
      </c>
      <c r="D18" s="78">
        <f t="shared" ref="D18:M18" si="4">D16*(1-D17)</f>
        <v>285.98402600335589</v>
      </c>
      <c r="E18" s="78">
        <f t="shared" si="4"/>
        <v>363.82994438142691</v>
      </c>
      <c r="F18" s="78">
        <f t="shared" si="4"/>
        <v>424.93778620790249</v>
      </c>
      <c r="G18" s="78">
        <f t="shared" si="4"/>
        <v>493.77241497200816</v>
      </c>
      <c r="H18" s="78">
        <f t="shared" si="4"/>
        <v>618.65554784188384</v>
      </c>
      <c r="I18" s="78">
        <f t="shared" si="4"/>
        <v>671.66965286754748</v>
      </c>
      <c r="J18" s="78">
        <f t="shared" si="4"/>
        <v>729.20234834384462</v>
      </c>
      <c r="K18" s="78">
        <f t="shared" si="4"/>
        <v>791.63698168722021</v>
      </c>
      <c r="L18" s="78">
        <f t="shared" si="4"/>
        <v>859.38929036435809</v>
      </c>
      <c r="M18" s="78">
        <f t="shared" si="4"/>
        <v>801.17247720408739</v>
      </c>
      <c r="O18" s="108" t="s">
        <v>105</v>
      </c>
      <c r="P18" s="1" t="s">
        <v>114</v>
      </c>
    </row>
    <row r="19" spans="2:16" x14ac:dyDescent="0.3">
      <c r="B19" s="1" t="s">
        <v>5</v>
      </c>
      <c r="C19" s="77">
        <f>Valuation!D9</f>
        <v>37.821964384931512</v>
      </c>
      <c r="D19" s="78">
        <f>((D13*'Inputs &amp; Assumptions'!$B$24)-('Market Expectations'!D13*'Inputs &amp; Assumptions'!$B$25))+(('Market Expectations'!D13*('Inputs &amp; Assumptions'!$B$26/365))-Valuation!D33)</f>
        <v>46.059813811395692</v>
      </c>
      <c r="E19" s="78">
        <f>((E13*'Inputs &amp; Assumptions'!$B$24)-('Market Expectations'!E13*'Inputs &amp; Assumptions'!$B$25))+(('Market Expectations'!E13*('Inputs &amp; Assumptions'!$B$26/365))-('Market Expectations'!D13*('Inputs &amp; Assumptions'!$B$26/365)))</f>
        <v>49.692090728562334</v>
      </c>
      <c r="F19" s="78">
        <f>((F13*'Inputs &amp; Assumptions'!$B$24)-('Market Expectations'!F13*'Inputs &amp; Assumptions'!$B$25))+(('Market Expectations'!F13*('Inputs &amp; Assumptions'!$B$26/365))-('Market Expectations'!E13*('Inputs &amp; Assumptions'!$B$26/365)))</f>
        <v>53.610809003416769</v>
      </c>
      <c r="G19" s="78">
        <f>((G13*'Inputs &amp; Assumptions'!$B$24)-('Market Expectations'!G13*'Inputs &amp; Assumptions'!$B$25))+(('Market Expectations'!G13*('Inputs &amp; Assumptions'!$B$26/365))-('Market Expectations'!F13*('Inputs &amp; Assumptions'!$B$26/365)))</f>
        <v>57.838557401426193</v>
      </c>
      <c r="H19" s="78">
        <f>((H13*'Inputs &amp; Assumptions'!$B$24)-('Market Expectations'!H13*'Inputs &amp; Assumptions'!$B$25))+(('Market Expectations'!H13*('Inputs &amp; Assumptions'!$B$26/365))-('Market Expectations'!G13*('Inputs &amp; Assumptions'!$B$26/365)))</f>
        <v>62.399706038102707</v>
      </c>
      <c r="I19" s="78">
        <f>((I13*'Inputs &amp; Assumptions'!$B$24)-('Market Expectations'!I13*'Inputs &amp; Assumptions'!$B$25))+(('Market Expectations'!I13*('Inputs &amp; Assumptions'!$B$26/365))-('Market Expectations'!H13*('Inputs &amp; Assumptions'!$B$26/365)))</f>
        <v>67.32054685626747</v>
      </c>
      <c r="J19" s="78">
        <f>((J13*'Inputs &amp; Assumptions'!$B$24)-('Market Expectations'!J13*'Inputs &amp; Assumptions'!$B$25))+(('Market Expectations'!J13*('Inputs &amp; Assumptions'!$B$26/365))-('Market Expectations'!I13*('Inputs &amp; Assumptions'!$B$26/365)))</f>
        <v>72.629445181352736</v>
      </c>
      <c r="K19" s="78">
        <f>((K13*'Inputs &amp; Assumptions'!$B$24)-('Market Expectations'!K13*'Inputs &amp; Assumptions'!$B$25))+(('Market Expectations'!K13*('Inputs &amp; Assumptions'!$B$26/365))-('Market Expectations'!J13*('Inputs &amp; Assumptions'!$B$26/365)))</f>
        <v>78.357003228354159</v>
      </c>
      <c r="L19" s="78">
        <f>((L13*'Inputs &amp; Assumptions'!$B$24)-('Market Expectations'!L13*'Inputs &amp; Assumptions'!$B$25))+(('Market Expectations'!L13*('Inputs &amp; Assumptions'!$B$26/365))-('Market Expectations'!K13*('Inputs &amp; Assumptions'!$B$26/365)))</f>
        <v>84.536236502942202</v>
      </c>
      <c r="M19" s="78">
        <f>M18*('Inputs &amp; Assumptions'!$B$27/'Inputs &amp; Assumptions'!$B$28)</f>
        <v>314.74633033017716</v>
      </c>
      <c r="O19" s="1" t="s">
        <v>136</v>
      </c>
      <c r="P19" s="1" t="s">
        <v>114</v>
      </c>
    </row>
    <row r="20" spans="2:16" x14ac:dyDescent="0.3">
      <c r="B20" s="1" t="s">
        <v>6</v>
      </c>
      <c r="C20" s="77">
        <f>Valuation!D10</f>
        <v>62.84706123797865</v>
      </c>
      <c r="D20" s="78">
        <f t="shared" ref="D20:M20" si="5">D18-D19</f>
        <v>239.92421219196021</v>
      </c>
      <c r="E20" s="78">
        <f t="shared" si="5"/>
        <v>314.13785365286458</v>
      </c>
      <c r="F20" s="78">
        <f t="shared" si="5"/>
        <v>371.32697720448573</v>
      </c>
      <c r="G20" s="78">
        <f t="shared" si="5"/>
        <v>435.93385757058195</v>
      </c>
      <c r="H20" s="78">
        <f t="shared" si="5"/>
        <v>556.2558418037811</v>
      </c>
      <c r="I20" s="78">
        <f t="shared" si="5"/>
        <v>604.34910601128001</v>
      </c>
      <c r="J20" s="78">
        <f t="shared" si="5"/>
        <v>656.57290316249191</v>
      </c>
      <c r="K20" s="78">
        <f t="shared" si="5"/>
        <v>713.27997845886603</v>
      </c>
      <c r="L20" s="78">
        <f t="shared" si="5"/>
        <v>774.8530538614159</v>
      </c>
      <c r="M20" s="78">
        <f t="shared" si="5"/>
        <v>486.42614687391023</v>
      </c>
      <c r="O20" s="10" t="s">
        <v>122</v>
      </c>
      <c r="P20" s="119">
        <v>7.886E-2</v>
      </c>
    </row>
    <row r="21" spans="2:16" x14ac:dyDescent="0.3">
      <c r="B21" s="1" t="s">
        <v>7</v>
      </c>
      <c r="C21" s="55">
        <f>Valuation!D11</f>
        <v>0.10453927821763231</v>
      </c>
      <c r="D21" s="55">
        <f>Valuation!E11</f>
        <v>0.10453927821763231</v>
      </c>
      <c r="E21" s="55">
        <f>Valuation!F11</f>
        <v>0.10453927821763231</v>
      </c>
      <c r="F21" s="55">
        <f>Valuation!G11</f>
        <v>0.10453927821763231</v>
      </c>
      <c r="G21" s="55">
        <f>Valuation!H11</f>
        <v>0.10453927821763231</v>
      </c>
      <c r="H21" s="55">
        <f>Valuation!I11</f>
        <v>0.10453927821763231</v>
      </c>
      <c r="I21" s="55">
        <f>Valuation!J11</f>
        <v>0.10453927821763231</v>
      </c>
      <c r="J21" s="55">
        <f>Valuation!K11</f>
        <v>0.10453927821763231</v>
      </c>
      <c r="K21" s="55">
        <f>Valuation!L11</f>
        <v>0.10453927821763231</v>
      </c>
      <c r="L21" s="55">
        <f>Valuation!M11</f>
        <v>0.10453927821763231</v>
      </c>
      <c r="M21" s="55">
        <f>Valuation!N11</f>
        <v>0.10453927821763231</v>
      </c>
      <c r="O21" s="107"/>
    </row>
    <row r="22" spans="2:16" x14ac:dyDescent="0.3">
      <c r="B22" s="1" t="s">
        <v>8</v>
      </c>
      <c r="C22" s="109">
        <f>Valuation!D12</f>
        <v>0.94671832487070051</v>
      </c>
      <c r="D22" s="48">
        <f>C22*(1/(1+D21))</f>
        <v>0.857116033391222</v>
      </c>
      <c r="E22" s="1">
        <f t="shared" ref="E22:L22" si="6">D22*(1/(1+E21))</f>
        <v>0.77599416362479101</v>
      </c>
      <c r="F22" s="1">
        <f t="shared" si="6"/>
        <v>0.70255008484351367</v>
      </c>
      <c r="G22" s="1">
        <f t="shared" si="6"/>
        <v>0.63605713141971854</v>
      </c>
      <c r="H22" s="1">
        <f t="shared" si="6"/>
        <v>0.57585741309816352</v>
      </c>
      <c r="I22" s="1">
        <f t="shared" si="6"/>
        <v>0.52135530574106004</v>
      </c>
      <c r="J22" s="1">
        <f t="shared" si="6"/>
        <v>0.47201155814246654</v>
      </c>
      <c r="K22" s="1">
        <f t="shared" si="6"/>
        <v>0.42733795660407825</v>
      </c>
      <c r="L22" s="1">
        <f t="shared" si="6"/>
        <v>0.3868924944830055</v>
      </c>
      <c r="M22" s="48"/>
    </row>
    <row r="23" spans="2:16" x14ac:dyDescent="0.3">
      <c r="B23" s="1" t="s">
        <v>9</v>
      </c>
      <c r="C23" s="78">
        <f>C20*C22</f>
        <v>59.49846453826548</v>
      </c>
      <c r="D23" s="78">
        <f t="shared" ref="D23:L23" si="7">D20*D22</f>
        <v>205.6428890684868</v>
      </c>
      <c r="E23" s="78">
        <f t="shared" si="7"/>
        <v>243.76914100824166</v>
      </c>
      <c r="F23" s="78">
        <f t="shared" si="7"/>
        <v>260.87579933969693</v>
      </c>
      <c r="G23" s="78">
        <f t="shared" si="7"/>
        <v>277.27883893507652</v>
      </c>
      <c r="H23" s="78">
        <f t="shared" si="7"/>
        <v>320.32405008186669</v>
      </c>
      <c r="I23" s="78">
        <f t="shared" si="7"/>
        <v>315.0806129388472</v>
      </c>
      <c r="J23" s="78">
        <f t="shared" si="7"/>
        <v>309.90999905585062</v>
      </c>
      <c r="K23" s="78">
        <f t="shared" si="7"/>
        <v>304.81160848121277</v>
      </c>
      <c r="L23" s="78">
        <f t="shared" si="7"/>
        <v>299.78483086621782</v>
      </c>
      <c r="M23" s="78"/>
    </row>
    <row r="25" spans="2:16" x14ac:dyDescent="0.3">
      <c r="B25" s="1" t="s">
        <v>93</v>
      </c>
      <c r="C25" s="78">
        <f>M20</f>
        <v>486.42614687391023</v>
      </c>
      <c r="J25" s="110"/>
    </row>
    <row r="26" spans="2:16" x14ac:dyDescent="0.3">
      <c r="B26" s="1" t="s">
        <v>94</v>
      </c>
      <c r="C26" s="52">
        <f>M21</f>
        <v>0.10453927821763231</v>
      </c>
      <c r="F26" s="110"/>
      <c r="J26" s="110"/>
    </row>
    <row r="27" spans="2:16" x14ac:dyDescent="0.3">
      <c r="B27" s="1" t="s">
        <v>95</v>
      </c>
      <c r="C27" s="78">
        <f>C25/(C26-M14)</f>
        <v>9818.9994762737279</v>
      </c>
      <c r="F27" s="110"/>
      <c r="J27" s="110"/>
    </row>
    <row r="28" spans="2:16" x14ac:dyDescent="0.3">
      <c r="B28" s="1" t="s">
        <v>96</v>
      </c>
      <c r="C28" s="78">
        <f>C27*L22</f>
        <v>3798.8972007028669</v>
      </c>
      <c r="F28" s="110"/>
    </row>
    <row r="29" spans="2:16" x14ac:dyDescent="0.3">
      <c r="B29" s="1" t="s">
        <v>97</v>
      </c>
      <c r="C29" s="78">
        <f>SUM(C23:L23)</f>
        <v>2596.9762343137627</v>
      </c>
    </row>
    <row r="30" spans="2:16" x14ac:dyDescent="0.3">
      <c r="B30" s="1" t="s">
        <v>120</v>
      </c>
      <c r="C30" s="78">
        <f>C28+C29</f>
        <v>6395.8734350166296</v>
      </c>
      <c r="J30" s="110"/>
    </row>
    <row r="31" spans="2:16" x14ac:dyDescent="0.3">
      <c r="C31" s="110"/>
      <c r="F31" s="110"/>
    </row>
    <row r="33" spans="2:22" x14ac:dyDescent="0.3">
      <c r="B33" s="106" t="s">
        <v>119</v>
      </c>
      <c r="C33" s="105"/>
      <c r="O33" s="138" t="s">
        <v>140</v>
      </c>
      <c r="P33" s="138"/>
      <c r="Q33" s="138"/>
      <c r="R33" s="138"/>
      <c r="S33" s="138"/>
      <c r="T33" s="138"/>
      <c r="U33" s="138"/>
      <c r="V33" s="138"/>
    </row>
    <row r="34" spans="2:22" x14ac:dyDescent="0.3">
      <c r="B34" s="104"/>
      <c r="C34" s="105"/>
      <c r="O34" s="111"/>
      <c r="P34" s="111"/>
      <c r="Q34" s="111"/>
      <c r="R34" s="111"/>
      <c r="S34" s="111"/>
      <c r="T34" s="111"/>
      <c r="U34" s="111"/>
      <c r="V34" s="111"/>
    </row>
    <row r="35" spans="2:22" x14ac:dyDescent="0.3">
      <c r="B35" s="2" t="s">
        <v>0</v>
      </c>
      <c r="C35" s="58">
        <f>Valuation!D2</f>
        <v>2027</v>
      </c>
      <c r="D35" s="58">
        <f t="shared" ref="D35" si="8">C35+1</f>
        <v>2028</v>
      </c>
      <c r="E35" s="58">
        <f t="shared" ref="E35" si="9">D35+1</f>
        <v>2029</v>
      </c>
      <c r="F35" s="58">
        <f t="shared" ref="F35" si="10">E35+1</f>
        <v>2030</v>
      </c>
      <c r="G35" s="58">
        <f t="shared" ref="G35" si="11">F35+1</f>
        <v>2031</v>
      </c>
      <c r="H35" s="58">
        <f t="shared" ref="H35" si="12">G35+1</f>
        <v>2032</v>
      </c>
      <c r="I35" s="58">
        <f t="shared" ref="I35" si="13">H35+1</f>
        <v>2033</v>
      </c>
      <c r="J35" s="58">
        <f t="shared" ref="J35" si="14">I35+1</f>
        <v>2034</v>
      </c>
      <c r="K35" s="58">
        <f t="shared" ref="K35" si="15">J35+1</f>
        <v>2035</v>
      </c>
      <c r="L35" s="58">
        <f t="shared" ref="L35" si="16">K35+1</f>
        <v>2036</v>
      </c>
      <c r="M35" s="58" t="s">
        <v>28</v>
      </c>
    </row>
    <row r="36" spans="2:22" x14ac:dyDescent="0.3">
      <c r="B36" s="1" t="s">
        <v>1</v>
      </c>
      <c r="C36" s="77">
        <f>Valuation!D3</f>
        <v>3048.6467000000002</v>
      </c>
      <c r="D36" s="77">
        <f>Valuation!E3</f>
        <v>3472.5401983234328</v>
      </c>
      <c r="E36" s="77">
        <f>Valuation!F3</f>
        <v>3916.4464233690655</v>
      </c>
      <c r="F36" s="77">
        <f>Valuation!G3</f>
        <v>4373.6182029190113</v>
      </c>
      <c r="G36" s="77">
        <f>Valuation!H3</f>
        <v>4836.0677799258983</v>
      </c>
      <c r="H36" s="77">
        <f>Valuation!I3</f>
        <v>5333.3625109051809</v>
      </c>
      <c r="I36" s="77">
        <f>Valuation!J3</f>
        <v>5823.8958845250381</v>
      </c>
      <c r="J36" s="77">
        <f>Valuation!K3</f>
        <v>6296.9313986674315</v>
      </c>
      <c r="K36" s="77">
        <f>Valuation!L3</f>
        <v>6741.3408389168553</v>
      </c>
      <c r="L36" s="77">
        <f>Valuation!M3</f>
        <v>7146.0276306565083</v>
      </c>
      <c r="M36" s="78">
        <f>L36*(1+M37)</f>
        <v>7539.0591503426158</v>
      </c>
      <c r="O36" s="57" t="s">
        <v>112</v>
      </c>
      <c r="P36" s="57" t="s">
        <v>78</v>
      </c>
    </row>
    <row r="37" spans="2:22" x14ac:dyDescent="0.3">
      <c r="B37" s="1" t="s">
        <v>2</v>
      </c>
      <c r="C37" s="37">
        <f>Valuation!D4</f>
        <v>3.5545754076087066E-2</v>
      </c>
      <c r="D37" s="37">
        <f>Valuation!E4</f>
        <v>0.13904316899804514</v>
      </c>
      <c r="E37" s="37">
        <f>Valuation!F4</f>
        <v>0.12783328620931544</v>
      </c>
      <c r="F37" s="37">
        <f>Valuation!G4</f>
        <v>0.11673127374398518</v>
      </c>
      <c r="G37" s="37">
        <f>Valuation!H4</f>
        <v>0.10573615609571085</v>
      </c>
      <c r="H37" s="37">
        <f>Valuation!I4</f>
        <v>0.10283038898741448</v>
      </c>
      <c r="I37" s="37">
        <f>Valuation!J4</f>
        <v>9.1974504380090139E-2</v>
      </c>
      <c r="J37" s="37">
        <f>Valuation!K4</f>
        <v>8.1223209260886664E-2</v>
      </c>
      <c r="K37" s="37">
        <f>Valuation!L4</f>
        <v>7.0575556904347136E-2</v>
      </c>
      <c r="L37" s="37">
        <f>Valuation!M4</f>
        <v>6.0030608362575455E-2</v>
      </c>
      <c r="M37" s="37">
        <f>Valuation!N4</f>
        <v>5.5E-2</v>
      </c>
      <c r="O37" s="1" t="s">
        <v>113</v>
      </c>
      <c r="P37" s="1" t="s">
        <v>114</v>
      </c>
    </row>
    <row r="38" spans="2:22" x14ac:dyDescent="0.3">
      <c r="B38" s="1" t="s">
        <v>137</v>
      </c>
      <c r="C38" s="37">
        <f>Valuation!D5</f>
        <v>7.1999999999999995E-2</v>
      </c>
      <c r="D38" s="118">
        <f>$P$43</f>
        <v>0.11235000000000001</v>
      </c>
      <c r="E38" s="118">
        <f t="shared" ref="E38:L38" si="17">$P$43</f>
        <v>0.11235000000000001</v>
      </c>
      <c r="F38" s="118">
        <f t="shared" si="17"/>
        <v>0.11235000000000001</v>
      </c>
      <c r="G38" s="118">
        <f t="shared" si="17"/>
        <v>0.11235000000000001</v>
      </c>
      <c r="H38" s="118">
        <f t="shared" si="17"/>
        <v>0.11235000000000001</v>
      </c>
      <c r="I38" s="118">
        <f t="shared" si="17"/>
        <v>0.11235000000000001</v>
      </c>
      <c r="J38" s="118">
        <f t="shared" si="17"/>
        <v>0.11235000000000001</v>
      </c>
      <c r="K38" s="118">
        <f t="shared" si="17"/>
        <v>0.11235000000000001</v>
      </c>
      <c r="L38" s="118">
        <f t="shared" si="17"/>
        <v>0.11235000000000001</v>
      </c>
      <c r="M38" s="37">
        <f>Valuation!N5</f>
        <v>0.17</v>
      </c>
      <c r="O38" s="1" t="s">
        <v>121</v>
      </c>
      <c r="P38" s="1" t="s">
        <v>114</v>
      </c>
    </row>
    <row r="39" spans="2:22" x14ac:dyDescent="0.3">
      <c r="B39" s="1" t="s">
        <v>138</v>
      </c>
      <c r="C39" s="78">
        <f>C36*C38</f>
        <v>219.50256239999999</v>
      </c>
      <c r="D39" s="78">
        <f>D36*D38</f>
        <v>390.13989128163769</v>
      </c>
      <c r="E39" s="78">
        <f t="shared" ref="E39:M39" si="18">E36*E38</f>
        <v>440.01275566551453</v>
      </c>
      <c r="F39" s="78">
        <f t="shared" si="18"/>
        <v>491.37600509795095</v>
      </c>
      <c r="G39" s="78">
        <f t="shared" si="18"/>
        <v>543.33221507467465</v>
      </c>
      <c r="H39" s="78">
        <f t="shared" si="18"/>
        <v>599.20327810019705</v>
      </c>
      <c r="I39" s="78">
        <f t="shared" si="18"/>
        <v>654.31470262638811</v>
      </c>
      <c r="J39" s="78">
        <f t="shared" si="18"/>
        <v>707.46024264028597</v>
      </c>
      <c r="K39" s="78">
        <f t="shared" si="18"/>
        <v>757.3896432523087</v>
      </c>
      <c r="L39" s="78">
        <f t="shared" si="18"/>
        <v>802.85620430425877</v>
      </c>
      <c r="M39" s="78">
        <f t="shared" si="18"/>
        <v>1281.6400555582447</v>
      </c>
      <c r="O39" s="1" t="s">
        <v>56</v>
      </c>
      <c r="P39" s="1" t="s">
        <v>114</v>
      </c>
    </row>
    <row r="40" spans="2:22" x14ac:dyDescent="0.3">
      <c r="B40" s="1" t="s">
        <v>3</v>
      </c>
      <c r="C40" s="43">
        <f>Valuation!D7</f>
        <v>0.26</v>
      </c>
      <c r="D40" s="43">
        <f>Valuation!E7</f>
        <v>0.26</v>
      </c>
      <c r="E40" s="43">
        <f>Valuation!F7</f>
        <v>0.26</v>
      </c>
      <c r="F40" s="43">
        <f>Valuation!G7</f>
        <v>0.26</v>
      </c>
      <c r="G40" s="43">
        <f>Valuation!H7</f>
        <v>0.26</v>
      </c>
      <c r="H40" s="43">
        <f>Valuation!I7</f>
        <v>0.26</v>
      </c>
      <c r="I40" s="43">
        <f>Valuation!J7</f>
        <v>0.26</v>
      </c>
      <c r="J40" s="43">
        <f>Valuation!K7</f>
        <v>0.26</v>
      </c>
      <c r="K40" s="43">
        <f>Valuation!L7</f>
        <v>0.26</v>
      </c>
      <c r="L40" s="43">
        <f>Valuation!M7</f>
        <v>0.26</v>
      </c>
      <c r="M40" s="43">
        <f>Valuation!N7</f>
        <v>0.26</v>
      </c>
      <c r="O40" s="1" t="s">
        <v>116</v>
      </c>
      <c r="P40" s="1" t="s">
        <v>117</v>
      </c>
    </row>
    <row r="41" spans="2:22" x14ac:dyDescent="0.3">
      <c r="B41" s="1" t="s">
        <v>4</v>
      </c>
      <c r="C41" s="78">
        <f>C39*(1-C40)</f>
        <v>162.43189617599998</v>
      </c>
      <c r="D41" s="78">
        <f t="shared" ref="D41:M41" si="19">D39*(1-D40)</f>
        <v>288.70351954841186</v>
      </c>
      <c r="E41" s="78">
        <f t="shared" si="19"/>
        <v>325.60943919248075</v>
      </c>
      <c r="F41" s="78">
        <f t="shared" si="19"/>
        <v>363.61824377248371</v>
      </c>
      <c r="G41" s="78">
        <f t="shared" si="19"/>
        <v>402.06583915525925</v>
      </c>
      <c r="H41" s="78">
        <f t="shared" si="19"/>
        <v>443.41042579414579</v>
      </c>
      <c r="I41" s="78">
        <f t="shared" si="19"/>
        <v>484.1928799435272</v>
      </c>
      <c r="J41" s="78">
        <f t="shared" si="19"/>
        <v>523.52057955381156</v>
      </c>
      <c r="K41" s="78">
        <f t="shared" si="19"/>
        <v>560.46833600670845</v>
      </c>
      <c r="L41" s="78">
        <f t="shared" si="19"/>
        <v>594.11359118515145</v>
      </c>
      <c r="M41" s="78">
        <f t="shared" si="19"/>
        <v>948.41364111310111</v>
      </c>
      <c r="O41" s="108" t="s">
        <v>105</v>
      </c>
      <c r="P41" s="1" t="s">
        <v>114</v>
      </c>
    </row>
    <row r="42" spans="2:22" x14ac:dyDescent="0.3">
      <c r="B42" s="1" t="s">
        <v>5</v>
      </c>
      <c r="C42" s="77">
        <f>Valuation!D9</f>
        <v>37.821964384931512</v>
      </c>
      <c r="D42" s="78">
        <f>((D36*'Inputs &amp; Assumptions'!$B$24)-('Market Expectations'!D36*'Inputs &amp; Assumptions'!$B$25))+(('Market Expectations'!D36*('Inputs &amp; Assumptions'!$B$26/365))-Valuation!D33)</f>
        <v>55.618222934575549</v>
      </c>
      <c r="E42" s="78">
        <f>((E36*'Inputs &amp; Assumptions'!$B$24)-('Market Expectations'!E36*'Inputs &amp; Assumptions'!$B$25))+(('Market Expectations'!E36*('Inputs &amp; Assumptions'!$B$26/365))-('Market Expectations'!D36*('Inputs &amp; Assumptions'!$B$26/365)))</f>
        <v>61.323632234277483</v>
      </c>
      <c r="F42" s="78">
        <f>((F36*'Inputs &amp; Assumptions'!$B$24)-('Market Expectations'!F36*'Inputs &amp; Assumptions'!$B$25))+(('Market Expectations'!F36*('Inputs &amp; Assumptions'!$B$26/365))-('Market Expectations'!E36*('Inputs &amp; Assumptions'!$B$26/365)))</f>
        <v>66.897681583476768</v>
      </c>
      <c r="G42" s="78">
        <f>((G36*'Inputs &amp; Assumptions'!$B$24)-('Market Expectations'!G36*'Inputs &amp; Assumptions'!$B$25))+(('Market Expectations'!G36*('Inputs &amp; Assumptions'!$B$26/365))-('Market Expectations'!F36*('Inputs &amp; Assumptions'!$B$26/365)))</f>
        <v>72.201522716454193</v>
      </c>
      <c r="H42" s="78">
        <f>((H36*'Inputs &amp; Assumptions'!$B$24)-('Market Expectations'!H36*'Inputs &amp; Assumptions'!$B$25))+(('Market Expectations'!H36*('Inputs &amp; Assumptions'!$B$26/365))-('Market Expectations'!G36*('Inputs &amp; Assumptions'!$B$26/365)))</f>
        <v>79.103757386228864</v>
      </c>
      <c r="I42" s="78">
        <f>((I36*'Inputs &amp; Assumptions'!$B$24)-('Market Expectations'!I36*'Inputs &amp; Assumptions'!$B$25))+(('Market Expectations'!I36*('Inputs &amp; Assumptions'!$B$26/365))-('Market Expectations'!H36*('Inputs &amp; Assumptions'!$B$26/365)))</f>
        <v>84.22176049497503</v>
      </c>
      <c r="J42" s="78">
        <f>((J36*'Inputs &amp; Assumptions'!$B$24)-('Market Expectations'!J36*'Inputs &amp; Assumptions'!$B$25))+(('Market Expectations'!J36*('Inputs &amp; Assumptions'!$B$26/365))-('Market Expectations'!I36*('Inputs &amp; Assumptions'!$B$26/365)))</f>
        <v>88.706061035029151</v>
      </c>
      <c r="K42" s="78">
        <f>((K36*'Inputs &amp; Assumptions'!$B$24)-('Market Expectations'!K36*'Inputs &amp; Assumptions'!$B$25))+(('Market Expectations'!K36*('Inputs &amp; Assumptions'!$B$26/365))-('Market Expectations'!J36*('Inputs &amp; Assumptions'!$B$26/365)))</f>
        <v>92.418150882171304</v>
      </c>
      <c r="L42" s="78">
        <f>((L36*'Inputs &amp; Assumptions'!$B$24)-('Market Expectations'!L36*'Inputs &amp; Assumptions'!$B$25))+(('Market Expectations'!L36*('Inputs &amp; Assumptions'!$B$26/365))-('Market Expectations'!K36*('Inputs &amp; Assumptions'!$B$26/365)))</f>
        <v>95.237267981316904</v>
      </c>
      <c r="M42" s="78">
        <f>M41*('Inputs &amp; Assumptions'!$B$27/'Inputs &amp; Assumptions'!$B$28)</f>
        <v>372.59107329443259</v>
      </c>
      <c r="O42" s="1" t="s">
        <v>136</v>
      </c>
      <c r="P42" s="1" t="s">
        <v>114</v>
      </c>
    </row>
    <row r="43" spans="2:22" x14ac:dyDescent="0.3">
      <c r="B43" s="1" t="s">
        <v>6</v>
      </c>
      <c r="C43" s="77">
        <f>Valuation!D10</f>
        <v>62.84706123797865</v>
      </c>
      <c r="D43" s="78">
        <f t="shared" ref="D43:M43" si="20">D41-D42</f>
        <v>233.08529661383631</v>
      </c>
      <c r="E43" s="78">
        <f t="shared" si="20"/>
        <v>264.28580695820324</v>
      </c>
      <c r="F43" s="78">
        <f t="shared" si="20"/>
        <v>296.72056218900696</v>
      </c>
      <c r="G43" s="78">
        <f t="shared" si="20"/>
        <v>329.86431643880508</v>
      </c>
      <c r="H43" s="78">
        <f t="shared" si="20"/>
        <v>364.30666840791696</v>
      </c>
      <c r="I43" s="78">
        <f t="shared" si="20"/>
        <v>399.97111944855214</v>
      </c>
      <c r="J43" s="78">
        <f t="shared" si="20"/>
        <v>434.81451851878239</v>
      </c>
      <c r="K43" s="78">
        <f t="shared" si="20"/>
        <v>468.05018512453717</v>
      </c>
      <c r="L43" s="78">
        <f t="shared" si="20"/>
        <v>498.87632320383454</v>
      </c>
      <c r="M43" s="78">
        <f t="shared" si="20"/>
        <v>575.82256781866852</v>
      </c>
      <c r="O43" s="10" t="s">
        <v>123</v>
      </c>
      <c r="P43" s="119">
        <v>0.11235000000000001</v>
      </c>
    </row>
    <row r="44" spans="2:22" x14ac:dyDescent="0.3">
      <c r="B44" s="1" t="s">
        <v>7</v>
      </c>
      <c r="C44" s="55">
        <f>Valuation!D11</f>
        <v>0.10453927821763231</v>
      </c>
      <c r="D44" s="55">
        <f>Valuation!E11</f>
        <v>0.10453927821763231</v>
      </c>
      <c r="E44" s="55">
        <f>Valuation!F11</f>
        <v>0.10453927821763231</v>
      </c>
      <c r="F44" s="55">
        <f>Valuation!G11</f>
        <v>0.10453927821763231</v>
      </c>
      <c r="G44" s="55">
        <f>Valuation!H11</f>
        <v>0.10453927821763231</v>
      </c>
      <c r="H44" s="55">
        <f>Valuation!I11</f>
        <v>0.10453927821763231</v>
      </c>
      <c r="I44" s="55">
        <f>Valuation!J11</f>
        <v>0.10453927821763231</v>
      </c>
      <c r="J44" s="55">
        <f>Valuation!K11</f>
        <v>0.10453927821763231</v>
      </c>
      <c r="K44" s="55">
        <f>Valuation!L11</f>
        <v>0.10453927821763231</v>
      </c>
      <c r="L44" s="55">
        <f>Valuation!M11</f>
        <v>0.10453927821763231</v>
      </c>
      <c r="M44" s="55">
        <f>Valuation!N11</f>
        <v>0.10453927821763231</v>
      </c>
      <c r="O44" s="107"/>
    </row>
    <row r="45" spans="2:22" x14ac:dyDescent="0.3">
      <c r="B45" s="1" t="s">
        <v>8</v>
      </c>
      <c r="C45" s="109">
        <f>Valuation!D12</f>
        <v>0.94671832487070051</v>
      </c>
      <c r="D45" s="48">
        <f>C45*(1/(1+D44))</f>
        <v>0.857116033391222</v>
      </c>
      <c r="E45" s="1">
        <f t="shared" ref="E45" si="21">D45*(1/(1+E44))</f>
        <v>0.77599416362479101</v>
      </c>
      <c r="F45" s="1">
        <f t="shared" ref="F45" si="22">E45*(1/(1+F44))</f>
        <v>0.70255008484351367</v>
      </c>
      <c r="G45" s="1">
        <f t="shared" ref="G45" si="23">F45*(1/(1+G44))</f>
        <v>0.63605713141971854</v>
      </c>
      <c r="H45" s="1">
        <f t="shared" ref="H45" si="24">G45*(1/(1+H44))</f>
        <v>0.57585741309816352</v>
      </c>
      <c r="I45" s="1">
        <f t="shared" ref="I45" si="25">H45*(1/(1+I44))</f>
        <v>0.52135530574106004</v>
      </c>
      <c r="J45" s="1">
        <f t="shared" ref="J45" si="26">I45*(1/(1+J44))</f>
        <v>0.47201155814246654</v>
      </c>
      <c r="K45" s="1">
        <f t="shared" ref="K45" si="27">J45*(1/(1+K44))</f>
        <v>0.42733795660407825</v>
      </c>
      <c r="L45" s="1">
        <f t="shared" ref="L45" si="28">K45*(1/(1+L44))</f>
        <v>0.3868924944830055</v>
      </c>
      <c r="M45" s="48"/>
    </row>
    <row r="46" spans="2:22" x14ac:dyDescent="0.3">
      <c r="B46" s="1" t="s">
        <v>9</v>
      </c>
      <c r="C46" s="78">
        <f>C43*C45</f>
        <v>59.49846453826548</v>
      </c>
      <c r="D46" s="78">
        <f t="shared" ref="D46:L46" si="29">D43*D45</f>
        <v>199.78114487546782</v>
      </c>
      <c r="E46" s="78">
        <f t="shared" si="29"/>
        <v>205.0842437284339</v>
      </c>
      <c r="F46" s="78">
        <f t="shared" si="29"/>
        <v>208.46105614070191</v>
      </c>
      <c r="G46" s="78">
        <f t="shared" si="29"/>
        <v>209.81255087179267</v>
      </c>
      <c r="H46" s="78">
        <f t="shared" si="29"/>
        <v>209.78869564379352</v>
      </c>
      <c r="I46" s="78">
        <f t="shared" si="29"/>
        <v>208.52706526769396</v>
      </c>
      <c r="J46" s="78">
        <f t="shared" si="29"/>
        <v>205.23747838901684</v>
      </c>
      <c r="K46" s="78">
        <f t="shared" si="29"/>
        <v>200.01560969928025</v>
      </c>
      <c r="L46" s="78">
        <f t="shared" si="29"/>
        <v>193.01150512284161</v>
      </c>
      <c r="M46" s="78"/>
    </row>
    <row r="48" spans="2:22" x14ac:dyDescent="0.3">
      <c r="B48" s="1" t="s">
        <v>93</v>
      </c>
      <c r="C48" s="78">
        <f>M43</f>
        <v>575.82256781866852</v>
      </c>
      <c r="J48" s="110"/>
    </row>
    <row r="49" spans="2:10" x14ac:dyDescent="0.3">
      <c r="B49" s="1" t="s">
        <v>94</v>
      </c>
      <c r="C49" s="52">
        <f>M44</f>
        <v>0.10453927821763231</v>
      </c>
      <c r="F49" s="110"/>
      <c r="J49" s="110"/>
    </row>
    <row r="50" spans="2:10" x14ac:dyDescent="0.3">
      <c r="B50" s="1" t="s">
        <v>95</v>
      </c>
      <c r="C50" s="78">
        <f>C48/(C49-M37)</f>
        <v>11623.555863874462</v>
      </c>
      <c r="F50" s="110"/>
      <c r="J50" s="110"/>
    </row>
    <row r="51" spans="2:10" x14ac:dyDescent="0.3">
      <c r="B51" s="1" t="s">
        <v>96</v>
      </c>
      <c r="C51" s="78">
        <f>C50*L45</f>
        <v>4497.066522936957</v>
      </c>
      <c r="F51" s="110"/>
    </row>
    <row r="52" spans="2:10" x14ac:dyDescent="0.3">
      <c r="B52" s="1" t="s">
        <v>97</v>
      </c>
      <c r="C52" s="78">
        <f>SUM(C46:L46)</f>
        <v>1899.2178142772877</v>
      </c>
    </row>
    <row r="53" spans="2:10" x14ac:dyDescent="0.3">
      <c r="B53" s="1" t="s">
        <v>120</v>
      </c>
      <c r="C53" s="78">
        <f>C51+C52</f>
        <v>6396.2843372142452</v>
      </c>
      <c r="J53" s="110"/>
    </row>
  </sheetData>
  <mergeCells count="2">
    <mergeCell ref="O10:V11"/>
    <mergeCell ref="O33:V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Inputs &amp; Assumptions</vt:lpstr>
      <vt:lpstr>Revenue Build</vt:lpstr>
      <vt:lpstr>Cost of Capital</vt:lpstr>
      <vt:lpstr>Valuation</vt:lpstr>
      <vt:lpstr>Market Expectations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tituthomas17@gmail.com</dc:creator>
  <cp:lastModifiedBy>Titu Thomas</cp:lastModifiedBy>
  <dcterms:created xsi:type="dcterms:W3CDTF">2015-06-05T18:17:20Z</dcterms:created>
  <dcterms:modified xsi:type="dcterms:W3CDTF">2026-10-01T04:24:26Z</dcterms:modified>
</cp:coreProperties>
</file>